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8F56897E-1E8C-421B-862E-05738768A15A}"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 name="_xlnm.Print_Titles" localSheetId="0">'Project 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1" i="11" s="1"/>
  <c r="F21" i="11" l="1"/>
  <c r="E22" i="11" s="1"/>
  <c r="E23" i="11" s="1"/>
  <c r="E27" i="11"/>
  <c r="F9" i="11"/>
  <c r="E10" i="11" s="1"/>
  <c r="I5" i="11"/>
  <c r="H33" i="11"/>
  <c r="H32" i="11"/>
  <c r="H26" i="11"/>
  <c r="H20" i="11"/>
  <c r="H14" i="11"/>
  <c r="H8" i="11"/>
  <c r="H21" i="11" l="1"/>
  <c r="F22" i="11"/>
  <c r="H22" i="11" s="1"/>
  <c r="F27" i="11"/>
  <c r="E28" i="11" s="1"/>
  <c r="E30" i="11"/>
  <c r="E31" i="11"/>
  <c r="H9" i="11"/>
  <c r="F23" i="11"/>
  <c r="E25" i="11"/>
  <c r="F10" i="11"/>
  <c r="E11" i="11" s="1"/>
  <c r="E13" i="11"/>
  <c r="E15" i="11" s="1"/>
  <c r="E16" i="11" s="1"/>
  <c r="I6" i="11"/>
  <c r="F31" i="11" l="1"/>
  <c r="H31" i="11" s="1"/>
  <c r="F28" i="11"/>
  <c r="E29" i="11" s="1"/>
  <c r="H28" i="1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F29" i="11" l="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<sst xmlns="http://schemas.openxmlformats.org/spreadsheetml/2006/main" count="72" uniqueCount="55">
  <si>
    <t>Europa project</t>
  </si>
  <si>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</si>
  <si>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</si>
  <si>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</si>
  <si>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</si>
  <si>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</si>
  <si>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</si>
  <si>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</si>
  <si>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</si>
  <si>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</si>
  <si>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</si>
  <si>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</si>
  <si>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</si>
  <si>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</si>
  <si>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</si>
  <si>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Gokce Aslan</t>
  </si>
  <si>
    <t>Conduct studies</t>
  </si>
  <si>
    <t>Hayden Cook</t>
  </si>
  <si>
    <t>Establish comms</t>
  </si>
  <si>
    <t>Jens Martensson</t>
  </si>
  <si>
    <t>Develop charter</t>
  </si>
  <si>
    <t>Nuria Acevedo</t>
  </si>
  <si>
    <t>Set up team</t>
  </si>
  <si>
    <t>Olivia Wilson</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</si>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</sst>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4" fillId="0" borderId="0" xfId="0" applyFont="1"/>
    <xf numFmtId="0" fontId="13" fillId="0" borderId="0" xfId="3" applyAlignment="1">
      <alignment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6" fontId="27" fillId="0" borderId="0" xfId="9" applyFont="1" applyBorder="1" applyAlignment="1">
      <alignment horizontal="left"/>
    </xf>
    <xf numFmtId="0" fontId="26" fillId="0" borderId="0" xfId="8" applyFont="1" applyAlignment="1">
      <alignment horizontal="left"/>
    </xf>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Date" xfId="10" xr:uid="{229918B6-DD13-4F5A-97B9-305F7E002AA3}"/>
    <cellStyle name="Komma" xfId="4" builtinId="3" customBuiltin="1"/>
    <cellStyle name="Link" xfId="1" builtinId="8" customBuiltin="1"/>
    <cellStyle name="Name" xfId="11" xr:uid="{B2D3C1EE-6B41-4801-AAFC-C2274E49E503}"/>
    <cellStyle name="Normal" xfId="0" builtinId="0"/>
    <cellStyle name="Overskrift 1" xfId="6" builtinId="16" customBuiltin="1"/>
    <cellStyle name="Overskrift 2" xfId="7" builtinId="17" customBuiltin="1"/>
    <cellStyle name="Overskrift 3" xfId="8" builtinId="18" customBuiltin="1"/>
    <cellStyle name="Procent" xfId="2" builtinId="5"/>
    <cellStyle name="Project Start" xfId="9" xr:uid="{8EB8A09A-C31C-40A3-B2C1-9449520178B8}"/>
    <cellStyle name="Task" xfId="12" xr:uid="{6391D789-272B-4DD2-9BF3-2CDCF610FA41}"/>
    <cellStyle name="Titel"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06"/>
      <c r="B1" s="97" t="s">
        <v>0</v>
      </c>
      <c r="C1" s="17"/>
      <c r="D1" s="18"/>
      <c r="E1" s="19"/>
      <c r="F1" s="20"/>
      <c r="H1" s="1"/>
      <c r="I1" s="114" t="s">
        <v>1</v>
      </c>
      <c r="J1" s="118"/>
      <c r="K1" s="118"/>
      <c r="L1" s="118"/>
      <c r="M1" s="118"/>
      <c r="N1" s="118"/>
      <c r="O1" s="118"/>
      <c r="P1" s="23"/>
      <c r="Q1" s="113">
        <f ca="1">TODAY()</f>
        <v>46071</v>
      </c>
      <c r="R1" s="119"/>
      <c r="S1" s="119"/>
      <c r="T1" s="119"/>
      <c r="U1" s="119"/>
      <c r="V1" s="119"/>
      <c r="W1" s="119"/>
      <c r="X1" s="119"/>
      <c r="Y1" s="119"/>
      <c r="Z1" s="119"/>
    </row>
    <row r="2" spans="1:64" ht="30" customHeight="1">
      <c r="B2" s="95" t="s">
        <v>2</v>
      </c>
      <c r="C2" s="96" t="s">
        <v>3</v>
      </c>
      <c r="D2" s="21"/>
      <c r="E2" s="22"/>
      <c r="F2" s="21"/>
      <c r="I2" s="114" t="s">
        <v>4</v>
      </c>
      <c r="J2" s="118"/>
      <c r="K2" s="118"/>
      <c r="L2" s="118"/>
      <c r="M2" s="118"/>
      <c r="N2" s="118"/>
      <c r="O2" s="118"/>
      <c r="P2" s="23"/>
      <c r="Q2" s="112">
        <v>1</v>
      </c>
      <c r="R2" s="119"/>
      <c r="S2" s="119"/>
      <c r="T2" s="119"/>
      <c r="U2" s="119"/>
      <c r="V2" s="119"/>
      <c r="W2" s="119"/>
      <c r="X2" s="119"/>
      <c r="Y2" s="119"/>
      <c r="Z2" s="119"/>
    </row>
    <row r="3" spans="1:64" s="25" customFormat="1" ht="30" customHeight="1">
      <c r="A3" s="13"/>
      <c r="B3" s="24" t="s">
        <v>5</v>
      </c>
      <c r="C3" s="105"/>
      <c r="D3" s="26"/>
      <c r="E3" s="27"/>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row>
    <row r="4" spans="1:64" s="25" customFormat="1" ht="30" customHeight="1">
      <c r="A4" s="106"/>
      <c r="B4" s="28" t="s">
        <v>6</v>
      </c>
      <c r="C4" s="105"/>
      <c r="D4" s="105"/>
      <c r="E4" s="29"/>
      <c r="F4" s="105"/>
      <c r="G4" s="105"/>
      <c r="H4" s="105"/>
      <c r="I4" s="117">
        <f ca="1">I5</f>
        <v>46069</v>
      </c>
      <c r="J4" s="115"/>
      <c r="K4" s="115"/>
      <c r="L4" s="115"/>
      <c r="M4" s="115"/>
      <c r="N4" s="115"/>
      <c r="O4" s="115"/>
      <c r="P4" s="115">
        <f ca="1">P5</f>
        <v>46076</v>
      </c>
      <c r="Q4" s="115"/>
      <c r="R4" s="115"/>
      <c r="S4" s="115"/>
      <c r="T4" s="115"/>
      <c r="U4" s="115"/>
      <c r="V4" s="115"/>
      <c r="W4" s="115">
        <f ca="1">W5</f>
        <v>46083</v>
      </c>
      <c r="X4" s="115"/>
      <c r="Y4" s="115"/>
      <c r="Z4" s="115"/>
      <c r="AA4" s="115"/>
      <c r="AB4" s="115"/>
      <c r="AC4" s="115"/>
      <c r="AD4" s="115">
        <f ca="1">AD5</f>
        <v>46090</v>
      </c>
      <c r="AE4" s="115"/>
      <c r="AF4" s="115"/>
      <c r="AG4" s="115"/>
      <c r="AH4" s="115"/>
      <c r="AI4" s="115"/>
      <c r="AJ4" s="115"/>
      <c r="AK4" s="115">
        <f ca="1">AK5</f>
        <v>46097</v>
      </c>
      <c r="AL4" s="115"/>
      <c r="AM4" s="115"/>
      <c r="AN4" s="115"/>
      <c r="AO4" s="115"/>
      <c r="AP4" s="115"/>
      <c r="AQ4" s="115"/>
      <c r="AR4" s="115">
        <f ca="1">AR5</f>
        <v>46104</v>
      </c>
      <c r="AS4" s="115"/>
      <c r="AT4" s="115"/>
      <c r="AU4" s="115"/>
      <c r="AV4" s="115"/>
      <c r="AW4" s="115"/>
      <c r="AX4" s="115"/>
      <c r="AY4" s="115">
        <f ca="1">AY5</f>
        <v>46111</v>
      </c>
      <c r="AZ4" s="115"/>
      <c r="BA4" s="115"/>
      <c r="BB4" s="115"/>
      <c r="BC4" s="115"/>
      <c r="BD4" s="115"/>
      <c r="BE4" s="115"/>
      <c r="BF4" s="115">
        <f ca="1">BF5</f>
        <v>46118</v>
      </c>
      <c r="BG4" s="115"/>
      <c r="BH4" s="115"/>
      <c r="BI4" s="115"/>
      <c r="BJ4" s="115"/>
      <c r="BK4" s="115"/>
      <c r="BL4" s="116"/>
    </row>
    <row r="5" spans="1:64" s="25" customFormat="1" ht="15" customHeight="1">
      <c r="A5" s="107"/>
      <c r="B5" s="108" t="s">
        <v>7</v>
      </c>
      <c r="C5" s="110" t="s">
        <v>8</v>
      </c>
      <c r="D5" s="111" t="s">
        <v>9</v>
      </c>
      <c r="E5" s="111" t="s">
        <v>10</v>
      </c>
      <c r="F5" s="111" t="s">
        <v>11</v>
      </c>
      <c r="G5" s="105"/>
      <c r="H5" s="105"/>
      <c r="I5" s="30">
        <f ca="1">Project_Start-WEEKDAY(Project_Start,1)+2+7*(Display_Week-1)</f>
        <v>46069</v>
      </c>
      <c r="J5" s="30">
        <f ca="1">I5+1</f>
        <v>46070</v>
      </c>
      <c r="K5" s="30">
        <f t="shared" ref="K5:AX5" ca="1" si="0">J5+1</f>
        <v>46071</v>
      </c>
      <c r="L5" s="30">
        <f t="shared" ca="1" si="0"/>
        <v>46072</v>
      </c>
      <c r="M5" s="30">
        <f t="shared" ca="1" si="0"/>
        <v>46073</v>
      </c>
      <c r="N5" s="30">
        <f t="shared" ca="1" si="0"/>
        <v>46074</v>
      </c>
      <c r="O5" s="31">
        <f t="shared" ca="1" si="0"/>
        <v>46075</v>
      </c>
      <c r="P5" s="32">
        <f ca="1">O5+1</f>
        <v>46076</v>
      </c>
      <c r="Q5" s="30">
        <f ca="1">P5+1</f>
        <v>46077</v>
      </c>
      <c r="R5" s="30">
        <f t="shared" ca="1" si="0"/>
        <v>46078</v>
      </c>
      <c r="S5" s="30">
        <f t="shared" ca="1" si="0"/>
        <v>46079</v>
      </c>
      <c r="T5" s="30">
        <f t="shared" ca="1" si="0"/>
        <v>46080</v>
      </c>
      <c r="U5" s="30">
        <f t="shared" ca="1" si="0"/>
        <v>46081</v>
      </c>
      <c r="V5" s="31">
        <f t="shared" ca="1" si="0"/>
        <v>46082</v>
      </c>
      <c r="W5" s="32">
        <f ca="1">V5+1</f>
        <v>46083</v>
      </c>
      <c r="X5" s="30">
        <f ca="1">W5+1</f>
        <v>46084</v>
      </c>
      <c r="Y5" s="30">
        <f t="shared" ca="1" si="0"/>
        <v>46085</v>
      </c>
      <c r="Z5" s="30">
        <f t="shared" ca="1" si="0"/>
        <v>46086</v>
      </c>
      <c r="AA5" s="30">
        <f t="shared" ca="1" si="0"/>
        <v>46087</v>
      </c>
      <c r="AB5" s="30">
        <f t="shared" ca="1" si="0"/>
        <v>46088</v>
      </c>
      <c r="AC5" s="31">
        <f t="shared" ca="1" si="0"/>
        <v>46089</v>
      </c>
      <c r="AD5" s="32">
        <f ca="1">AC5+1</f>
        <v>46090</v>
      </c>
      <c r="AE5" s="30">
        <f ca="1">AD5+1</f>
        <v>46091</v>
      </c>
      <c r="AF5" s="30">
        <f t="shared" ca="1" si="0"/>
        <v>46092</v>
      </c>
      <c r="AG5" s="30">
        <f t="shared" ca="1" si="0"/>
        <v>46093</v>
      </c>
      <c r="AH5" s="30">
        <f t="shared" ca="1" si="0"/>
        <v>46094</v>
      </c>
      <c r="AI5" s="30">
        <f t="shared" ca="1" si="0"/>
        <v>46095</v>
      </c>
      <c r="AJ5" s="31">
        <f t="shared" ca="1" si="0"/>
        <v>46096</v>
      </c>
      <c r="AK5" s="32">
        <f ca="1">AJ5+1</f>
        <v>46097</v>
      </c>
      <c r="AL5" s="30">
        <f ca="1">AK5+1</f>
        <v>46098</v>
      </c>
      <c r="AM5" s="30">
        <f t="shared" ca="1" si="0"/>
        <v>46099</v>
      </c>
      <c r="AN5" s="30">
        <f t="shared" ca="1" si="0"/>
        <v>46100</v>
      </c>
      <c r="AO5" s="30">
        <f t="shared" ca="1" si="0"/>
        <v>46101</v>
      </c>
      <c r="AP5" s="30">
        <f t="shared" ca="1" si="0"/>
        <v>46102</v>
      </c>
      <c r="AQ5" s="31">
        <f t="shared" ca="1" si="0"/>
        <v>46103</v>
      </c>
      <c r="AR5" s="32">
        <f ca="1">AQ5+1</f>
        <v>46104</v>
      </c>
      <c r="AS5" s="30">
        <f ca="1">AR5+1</f>
        <v>46105</v>
      </c>
      <c r="AT5" s="30">
        <f t="shared" ca="1" si="0"/>
        <v>46106</v>
      </c>
      <c r="AU5" s="30">
        <f t="shared" ca="1" si="0"/>
        <v>46107</v>
      </c>
      <c r="AV5" s="30">
        <f t="shared" ca="1" si="0"/>
        <v>46108</v>
      </c>
      <c r="AW5" s="30">
        <f t="shared" ca="1" si="0"/>
        <v>46109</v>
      </c>
      <c r="AX5" s="31">
        <f t="shared" ca="1" si="0"/>
        <v>46110</v>
      </c>
      <c r="AY5" s="32">
        <f ca="1">AX5+1</f>
        <v>46111</v>
      </c>
      <c r="AZ5" s="30">
        <f ca="1">AY5+1</f>
        <v>46112</v>
      </c>
      <c r="BA5" s="30">
        <f t="shared" ref="BA5:BE5" ca="1" si="1">AZ5+1</f>
        <v>46113</v>
      </c>
      <c r="BB5" s="30">
        <f t="shared" ca="1" si="1"/>
        <v>46114</v>
      </c>
      <c r="BC5" s="30">
        <f t="shared" ca="1" si="1"/>
        <v>46115</v>
      </c>
      <c r="BD5" s="30">
        <f t="shared" ca="1" si="1"/>
        <v>46116</v>
      </c>
      <c r="BE5" s="31">
        <f t="shared" ca="1" si="1"/>
        <v>46117</v>
      </c>
      <c r="BF5" s="32">
        <f ca="1">BE5+1</f>
        <v>46118</v>
      </c>
      <c r="BG5" s="30">
        <f ca="1">BF5+1</f>
        <v>46119</v>
      </c>
      <c r="BH5" s="30">
        <f t="shared" ref="BH5:BL5" ca="1" si="2">BG5+1</f>
        <v>46120</v>
      </c>
      <c r="BI5" s="30">
        <f t="shared" ca="1" si="2"/>
        <v>46121</v>
      </c>
      <c r="BJ5" s="30">
        <f t="shared" ca="1" si="2"/>
        <v>46122</v>
      </c>
      <c r="BK5" s="30">
        <f t="shared" ca="1" si="2"/>
        <v>46123</v>
      </c>
      <c r="BL5" s="30">
        <f t="shared" ca="1" si="2"/>
        <v>46124</v>
      </c>
    </row>
    <row r="6" spans="1:64" s="25" customFormat="1" ht="15" customHeight="1" thickBot="1">
      <c r="A6" s="107"/>
      <c r="B6" s="109"/>
      <c r="C6" s="120"/>
      <c r="D6" s="120"/>
      <c r="E6" s="120"/>
      <c r="F6" s="120"/>
      <c r="G6" s="105"/>
      <c r="H6" s="105"/>
      <c r="I6" s="33" t="str">
        <f t="shared" ref="I6:AN6" ca="1" si="3">LEFT(TEXT(I5,"ddd"),1)</f>
        <v>m</v>
      </c>
      <c r="J6" s="34" t="str">
        <f t="shared" ca="1" si="3"/>
        <v>t</v>
      </c>
      <c r="K6" s="34" t="str">
        <f t="shared" ca="1" si="3"/>
        <v>o</v>
      </c>
      <c r="L6" s="34" t="str">
        <f t="shared" ca="1" si="3"/>
        <v>t</v>
      </c>
      <c r="M6" s="34" t="str">
        <f t="shared" ca="1" si="3"/>
        <v>f</v>
      </c>
      <c r="N6" s="34" t="str">
        <f t="shared" ca="1" si="3"/>
        <v>l</v>
      </c>
      <c r="O6" s="34" t="str">
        <f t="shared" ca="1" si="3"/>
        <v>s</v>
      </c>
      <c r="P6" s="34" t="str">
        <f t="shared" ca="1" si="3"/>
        <v>m</v>
      </c>
      <c r="Q6" s="34" t="str">
        <f t="shared" ca="1" si="3"/>
        <v>t</v>
      </c>
      <c r="R6" s="34" t="str">
        <f t="shared" ca="1" si="3"/>
        <v>o</v>
      </c>
      <c r="S6" s="34" t="str">
        <f t="shared" ca="1" si="3"/>
        <v>t</v>
      </c>
      <c r="T6" s="34" t="str">
        <f t="shared" ca="1" si="3"/>
        <v>f</v>
      </c>
      <c r="U6" s="34" t="str">
        <f t="shared" ca="1" si="3"/>
        <v>l</v>
      </c>
      <c r="V6" s="34" t="str">
        <f t="shared" ca="1" si="3"/>
        <v>s</v>
      </c>
      <c r="W6" s="34" t="str">
        <f t="shared" ca="1" si="3"/>
        <v>m</v>
      </c>
      <c r="X6" s="34" t="str">
        <f t="shared" ca="1" si="3"/>
        <v>t</v>
      </c>
      <c r="Y6" s="34" t="str">
        <f t="shared" ca="1" si="3"/>
        <v>o</v>
      </c>
      <c r="Z6" s="34" t="str">
        <f t="shared" ca="1" si="3"/>
        <v>t</v>
      </c>
      <c r="AA6" s="34" t="str">
        <f t="shared" ca="1" si="3"/>
        <v>f</v>
      </c>
      <c r="AB6" s="34" t="str">
        <f t="shared" ca="1" si="3"/>
        <v>l</v>
      </c>
      <c r="AC6" s="34" t="str">
        <f t="shared" ca="1" si="3"/>
        <v>s</v>
      </c>
      <c r="AD6" s="34" t="str">
        <f t="shared" ca="1" si="3"/>
        <v>m</v>
      </c>
      <c r="AE6" s="34" t="str">
        <f t="shared" ca="1" si="3"/>
        <v>t</v>
      </c>
      <c r="AF6" s="34" t="str">
        <f t="shared" ca="1" si="3"/>
        <v>o</v>
      </c>
      <c r="AG6" s="34" t="str">
        <f t="shared" ca="1" si="3"/>
        <v>t</v>
      </c>
      <c r="AH6" s="34" t="str">
        <f t="shared" ca="1" si="3"/>
        <v>f</v>
      </c>
      <c r="AI6" s="34" t="str">
        <f t="shared" ca="1" si="3"/>
        <v>l</v>
      </c>
      <c r="AJ6" s="34" t="str">
        <f t="shared" ca="1" si="3"/>
        <v>s</v>
      </c>
      <c r="AK6" s="34" t="str">
        <f t="shared" ca="1" si="3"/>
        <v>m</v>
      </c>
      <c r="AL6" s="34" t="str">
        <f t="shared" ca="1" si="3"/>
        <v>t</v>
      </c>
      <c r="AM6" s="34" t="str">
        <f t="shared" ca="1" si="3"/>
        <v>o</v>
      </c>
      <c r="AN6" s="34" t="str">
        <f t="shared" ca="1" si="3"/>
        <v>t</v>
      </c>
      <c r="AO6" s="34" t="str">
        <f t="shared" ref="AO6:BL6" ca="1" si="4">LEFT(TEXT(AO5,"ddd"),1)</f>
        <v>f</v>
      </c>
      <c r="AP6" s="34" t="str">
        <f t="shared" ca="1" si="4"/>
        <v>l</v>
      </c>
      <c r="AQ6" s="34" t="str">
        <f t="shared" ca="1" si="4"/>
        <v>s</v>
      </c>
      <c r="AR6" s="34" t="str">
        <f t="shared" ca="1" si="4"/>
        <v>m</v>
      </c>
      <c r="AS6" s="34" t="str">
        <f t="shared" ca="1" si="4"/>
        <v>t</v>
      </c>
      <c r="AT6" s="34" t="str">
        <f t="shared" ca="1" si="4"/>
        <v>o</v>
      </c>
      <c r="AU6" s="34" t="str">
        <f t="shared" ca="1" si="4"/>
        <v>t</v>
      </c>
      <c r="AV6" s="34" t="str">
        <f t="shared" ca="1" si="4"/>
        <v>f</v>
      </c>
      <c r="AW6" s="34" t="str">
        <f t="shared" ca="1" si="4"/>
        <v>l</v>
      </c>
      <c r="AX6" s="34" t="str">
        <f t="shared" ca="1" si="4"/>
        <v>s</v>
      </c>
      <c r="AY6" s="34" t="str">
        <f t="shared" ca="1" si="4"/>
        <v>m</v>
      </c>
      <c r="AZ6" s="34" t="str">
        <f t="shared" ca="1" si="4"/>
        <v>t</v>
      </c>
      <c r="BA6" s="34" t="str">
        <f t="shared" ca="1" si="4"/>
        <v>o</v>
      </c>
      <c r="BB6" s="34" t="str">
        <f t="shared" ca="1" si="4"/>
        <v>t</v>
      </c>
      <c r="BC6" s="34" t="str">
        <f t="shared" ca="1" si="4"/>
        <v>f</v>
      </c>
      <c r="BD6" s="34" t="str">
        <f t="shared" ca="1" si="4"/>
        <v>l</v>
      </c>
      <c r="BE6" s="34" t="str">
        <f t="shared" ca="1" si="4"/>
        <v>s</v>
      </c>
      <c r="BF6" s="34" t="str">
        <f t="shared" ca="1" si="4"/>
        <v>m</v>
      </c>
      <c r="BG6" s="34" t="str">
        <f t="shared" ca="1" si="4"/>
        <v>t</v>
      </c>
      <c r="BH6" s="34" t="str">
        <f t="shared" ca="1" si="4"/>
        <v>o</v>
      </c>
      <c r="BI6" s="34" t="str">
        <f t="shared" ca="1" si="4"/>
        <v>t</v>
      </c>
      <c r="BJ6" s="34" t="str">
        <f t="shared" ca="1" si="4"/>
        <v>f</v>
      </c>
      <c r="BK6" s="34" t="str">
        <f t="shared" ca="1" si="4"/>
        <v>l</v>
      </c>
      <c r="BL6" s="35" t="str">
        <f t="shared" ca="1" si="4"/>
        <v>s</v>
      </c>
    </row>
    <row r="7" spans="1:64" s="25" customFormat="1" ht="30" hidden="1" customHeight="1" thickBot="1">
      <c r="A7" s="13" t="s">
        <v>12</v>
      </c>
      <c r="B7" s="36"/>
      <c r="C7" s="37"/>
      <c r="D7" s="36"/>
      <c r="E7" s="36"/>
      <c r="F7" s="36"/>
      <c r="G7" s="105"/>
      <c r="H7" s="105" t="str">
        <f ca="1">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c r="A8" s="106"/>
      <c r="B8" s="39" t="s">
        <v>13</v>
      </c>
      <c r="C8" s="40"/>
      <c r="D8" s="41"/>
      <c r="E8" s="42"/>
      <c r="F8" s="43"/>
      <c r="G8" s="16"/>
      <c r="H8" s="5" t="str">
        <f t="shared" ref="H8:H33" ca="1"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c r="A9" s="106"/>
      <c r="B9" s="46" t="s">
        <v>14</v>
      </c>
      <c r="C9" s="47" t="s">
        <v>15</v>
      </c>
      <c r="D9" s="48">
        <v>0.5</v>
      </c>
      <c r="E9" s="49">
        <f ca="1">Project_Start</f>
        <v>46071</v>
      </c>
      <c r="F9" s="49">
        <f ca="1">E9+3</f>
        <v>46074</v>
      </c>
      <c r="G9" s="16"/>
      <c r="H9" s="5">
        <f t="shared" ca="1" si="5"/>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c r="A10" s="106"/>
      <c r="B10" s="51" t="s">
        <v>16</v>
      </c>
      <c r="C10" s="52" t="s">
        <v>17</v>
      </c>
      <c r="D10" s="53">
        <v>0.6</v>
      </c>
      <c r="E10" s="54">
        <f ca="1">F9</f>
        <v>46074</v>
      </c>
      <c r="F10" s="54">
        <f ca="1">E10+2</f>
        <v>46076</v>
      </c>
      <c r="G10" s="16"/>
      <c r="H10" s="5">
        <f t="shared" ca="1"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c r="A11" s="13"/>
      <c r="B11" s="51" t="s">
        <v>18</v>
      </c>
      <c r="C11" s="52" t="s">
        <v>19</v>
      </c>
      <c r="D11" s="53">
        <v>0.5</v>
      </c>
      <c r="E11" s="54">
        <f ca="1">F10</f>
        <v>46076</v>
      </c>
      <c r="F11" s="54">
        <f ca="1">E11+4</f>
        <v>46080</v>
      </c>
      <c r="G11" s="16"/>
      <c r="H11" s="5">
        <f t="shared" ca="1"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c r="A12" s="13"/>
      <c r="B12" s="51" t="s">
        <v>20</v>
      </c>
      <c r="C12" s="52" t="s">
        <v>21</v>
      </c>
      <c r="D12" s="53">
        <v>0.25</v>
      </c>
      <c r="E12" s="54">
        <f ca="1">F11</f>
        <v>46080</v>
      </c>
      <c r="F12" s="54">
        <f ca="1">E12+5</f>
        <v>46085</v>
      </c>
      <c r="G12" s="16"/>
      <c r="H12" s="5">
        <f t="shared" ca="1" si="5"/>
        <v>6</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c r="A13" s="13"/>
      <c r="B13" s="51" t="s">
        <v>22</v>
      </c>
      <c r="C13" s="52" t="s">
        <v>23</v>
      </c>
      <c r="D13" s="53"/>
      <c r="E13" s="54">
        <f ca="1">E10+1</f>
        <v>46075</v>
      </c>
      <c r="F13" s="54">
        <f ca="1">E13+2</f>
        <v>46077</v>
      </c>
      <c r="G13" s="16"/>
      <c r="H13" s="5">
        <f t="shared" ca="1" si="5"/>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c r="A14" s="106"/>
      <c r="B14" s="56" t="s">
        <v>24</v>
      </c>
      <c r="C14" s="57"/>
      <c r="D14" s="58"/>
      <c r="E14" s="59"/>
      <c r="F14" s="60"/>
      <c r="G14" s="16"/>
      <c r="H14" s="5" t="str">
        <f t="shared" ca="1" si="5"/>
        <v/>
      </c>
    </row>
    <row r="15" spans="1:64" s="45" customFormat="1" ht="30" customHeight="1" thickBot="1">
      <c r="A15" s="106"/>
      <c r="B15" s="61" t="s">
        <v>25</v>
      </c>
      <c r="C15" s="62" t="s">
        <v>15</v>
      </c>
      <c r="D15" s="63">
        <v>0.5</v>
      </c>
      <c r="E15" s="64">
        <f ca="1">E13+1</f>
        <v>46076</v>
      </c>
      <c r="F15" s="64">
        <f ca="1">E15+4</f>
        <v>46080</v>
      </c>
      <c r="G15" s="16"/>
      <c r="H15" s="5">
        <f t="shared" ca="1"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c r="A16" s="13"/>
      <c r="B16" s="61" t="s">
        <v>26</v>
      </c>
      <c r="C16" s="62" t="s">
        <v>17</v>
      </c>
      <c r="D16" s="63">
        <v>0.5</v>
      </c>
      <c r="E16" s="64">
        <f ca="1">E15+2</f>
        <v>46078</v>
      </c>
      <c r="F16" s="64">
        <f ca="1">E16+5</f>
        <v>46083</v>
      </c>
      <c r="G16" s="16"/>
      <c r="H16" s="5">
        <f t="shared" ca="1" si="5"/>
        <v>6</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c r="A17" s="13"/>
      <c r="B17" s="61" t="s">
        <v>27</v>
      </c>
      <c r="C17" s="62" t="s">
        <v>19</v>
      </c>
      <c r="D17" s="63"/>
      <c r="E17" s="64">
        <f ca="1">F16</f>
        <v>46083</v>
      </c>
      <c r="F17" s="64">
        <f ca="1">E17+3</f>
        <v>46086</v>
      </c>
      <c r="G17" s="16"/>
      <c r="H17" s="5">
        <f t="shared" ca="1" si="5"/>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c r="A18" s="13"/>
      <c r="B18" s="61" t="s">
        <v>28</v>
      </c>
      <c r="C18" s="62" t="s">
        <v>21</v>
      </c>
      <c r="D18" s="63"/>
      <c r="E18" s="64">
        <f ca="1">E17</f>
        <v>46083</v>
      </c>
      <c r="F18" s="64">
        <f ca="1">E18+2</f>
        <v>46085</v>
      </c>
      <c r="G18" s="16"/>
      <c r="H18" s="5">
        <f t="shared" ca="1" si="5"/>
        <v>3</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c r="A19" s="13"/>
      <c r="B19" s="61" t="s">
        <v>29</v>
      </c>
      <c r="C19" s="62" t="s">
        <v>23</v>
      </c>
      <c r="D19" s="63"/>
      <c r="E19" s="64">
        <f ca="1">E18</f>
        <v>46083</v>
      </c>
      <c r="F19" s="64">
        <f ca="1">E19+3</f>
        <v>46086</v>
      </c>
      <c r="G19" s="16"/>
      <c r="H19" s="5">
        <f t="shared" ca="1"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c r="A20" s="13"/>
      <c r="B20" s="65" t="s">
        <v>30</v>
      </c>
      <c r="C20" s="66"/>
      <c r="D20" s="67"/>
      <c r="E20" s="68"/>
      <c r="F20" s="69"/>
      <c r="G20" s="16"/>
      <c r="H20" s="5" t="str">
        <f t="shared" ca="1"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c r="A21" s="13"/>
      <c r="B21" s="71" t="s">
        <v>31</v>
      </c>
      <c r="C21" s="72" t="s">
        <v>15</v>
      </c>
      <c r="D21" s="73">
        <v>0.5</v>
      </c>
      <c r="E21" s="74">
        <f ca="1">E9+15</f>
        <v>46086</v>
      </c>
      <c r="F21" s="74">
        <f ca="1">E21+5</f>
        <v>46091</v>
      </c>
      <c r="G21" s="16"/>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c r="A22" s="13"/>
      <c r="B22" s="71" t="s">
        <v>32</v>
      </c>
      <c r="C22" s="72" t="s">
        <v>17</v>
      </c>
      <c r="D22" s="73">
        <v>0.6</v>
      </c>
      <c r="E22" s="74">
        <f ca="1">F21+1</f>
        <v>46092</v>
      </c>
      <c r="F22" s="74">
        <f ca="1">E22+4</f>
        <v>46096</v>
      </c>
      <c r="G22" s="16"/>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c r="A23" s="13"/>
      <c r="B23" s="71" t="s">
        <v>33</v>
      </c>
      <c r="C23" s="72" t="s">
        <v>19</v>
      </c>
      <c r="D23" s="73">
        <v>0.5</v>
      </c>
      <c r="E23" s="74">
        <f ca="1">E22+5</f>
        <v>46097</v>
      </c>
      <c r="F23" s="74">
        <f ca="1">E23+5</f>
        <v>46102</v>
      </c>
      <c r="G23" s="16"/>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c r="A24" s="13"/>
      <c r="B24" s="71" t="s">
        <v>34</v>
      </c>
      <c r="C24" s="72" t="s">
        <v>21</v>
      </c>
      <c r="D24" s="73">
        <v>0.25</v>
      </c>
      <c r="E24" s="74">
        <f ca="1">F23+1</f>
        <v>46103</v>
      </c>
      <c r="F24" s="74">
        <f ca="1">E24+4</f>
        <v>46107</v>
      </c>
      <c r="G24" s="16"/>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c r="A25" s="13"/>
      <c r="B25" s="71" t="s">
        <v>35</v>
      </c>
      <c r="C25" s="72" t="s">
        <v>23</v>
      </c>
      <c r="D25" s="73">
        <v>0.25</v>
      </c>
      <c r="E25" s="74">
        <f ca="1">E23</f>
        <v>46097</v>
      </c>
      <c r="F25" s="74">
        <f ca="1">E25+4</f>
        <v>46101</v>
      </c>
      <c r="G25" s="16"/>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c r="A26" s="13"/>
      <c r="B26" s="75" t="s">
        <v>36</v>
      </c>
      <c r="C26" s="76"/>
      <c r="D26" s="77"/>
      <c r="E26" s="78"/>
      <c r="F26" s="79"/>
      <c r="G26" s="16"/>
      <c r="H26" s="5" t="str">
        <f t="shared" ca="1"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c r="A27" s="13"/>
      <c r="B27" s="81" t="s">
        <v>32</v>
      </c>
      <c r="C27" s="82" t="s">
        <v>15</v>
      </c>
      <c r="D27" s="83">
        <v>0.25</v>
      </c>
      <c r="E27" s="84">
        <f ca="1">E21+2</f>
        <v>46088</v>
      </c>
      <c r="F27" s="84">
        <f ca="1">E27+3</f>
        <v>46091</v>
      </c>
      <c r="G27" s="16"/>
      <c r="H27" s="5">
        <f t="shared" ca="1" si="5"/>
        <v>4</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c r="A28" s="13"/>
      <c r="B28" s="81" t="s">
        <v>37</v>
      </c>
      <c r="C28" s="82" t="s">
        <v>17</v>
      </c>
      <c r="D28" s="83">
        <v>0.25</v>
      </c>
      <c r="E28" s="84">
        <f ca="1">F27</f>
        <v>46091</v>
      </c>
      <c r="F28" s="84">
        <f ca="1">E28+4</f>
        <v>46095</v>
      </c>
      <c r="G28" s="16"/>
      <c r="H28" s="5">
        <f t="shared" ca="1"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c r="A29" s="13"/>
      <c r="B29" s="81" t="s">
        <v>38</v>
      </c>
      <c r="C29" s="82" t="s">
        <v>19</v>
      </c>
      <c r="D29" s="83">
        <v>0.5</v>
      </c>
      <c r="E29" s="84">
        <f ca="1">F28+1</f>
        <v>46096</v>
      </c>
      <c r="F29" s="84">
        <f ca="1">E29+3</f>
        <v>46099</v>
      </c>
      <c r="G29" s="16"/>
      <c r="H29" s="5">
        <f t="shared" ca="1"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c r="A30" s="13"/>
      <c r="B30" s="81" t="s">
        <v>39</v>
      </c>
      <c r="C30" s="82" t="s">
        <v>21</v>
      </c>
      <c r="D30" s="83">
        <v>0.6</v>
      </c>
      <c r="E30" s="84">
        <f ca="1">E27+5</f>
        <v>46093</v>
      </c>
      <c r="F30" s="84">
        <f ca="1">E30+3</f>
        <v>46096</v>
      </c>
      <c r="G30" s="16"/>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c r="A31" s="13"/>
      <c r="B31" s="81" t="s">
        <v>40</v>
      </c>
      <c r="C31" s="82" t="s">
        <v>23</v>
      </c>
      <c r="D31" s="83">
        <v>0.5</v>
      </c>
      <c r="E31" s="84">
        <f ca="1">E27+7</f>
        <v>46095</v>
      </c>
      <c r="F31" s="84">
        <f ca="1">E31+5</f>
        <v>46100</v>
      </c>
      <c r="G31" s="16"/>
      <c r="H31" s="5">
        <f t="shared" ca="1" si="5"/>
        <v>6</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c r="A32" s="13"/>
      <c r="B32" s="85"/>
      <c r="C32" s="86"/>
      <c r="D32" s="87"/>
      <c r="E32" s="88"/>
      <c r="F32" s="88"/>
      <c r="G32" s="16"/>
      <c r="H32" s="5" t="str">
        <f t="shared" ca="1"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c r="A33" s="106"/>
      <c r="B33" s="89" t="s">
        <v>41</v>
      </c>
      <c r="C33" s="90"/>
      <c r="D33" s="91"/>
      <c r="E33" s="92"/>
      <c r="F33" s="93"/>
      <c r="G33" s="16"/>
      <c r="H33" s="6" t="str">
        <f t="shared" ca="1"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c r="G34" s="3"/>
    </row>
    <row r="35" spans="1:64" ht="30" customHeight="1">
      <c r="C35" s="15"/>
      <c r="F35" s="14"/>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8" t="s">
        <v>5</v>
      </c>
      <c r="B2" s="8"/>
    </row>
    <row r="3" spans="1:2" s="11" customFormat="1" ht="27" customHeight="1">
      <c r="A3" s="99"/>
      <c r="B3" s="12"/>
    </row>
    <row r="4" spans="1:2" s="10" customFormat="1" ht="30">
      <c r="A4" s="100" t="s">
        <v>42</v>
      </c>
    </row>
    <row r="5" spans="1:2" ht="74.25" customHeight="1">
      <c r="A5" s="101" t="s">
        <v>43</v>
      </c>
    </row>
    <row r="6" spans="1:2" ht="26.25" customHeight="1">
      <c r="A6" s="100" t="s">
        <v>44</v>
      </c>
    </row>
    <row r="7" spans="1:2" s="7" customFormat="1" ht="205.15" customHeight="1">
      <c r="A7" s="102" t="s">
        <v>45</v>
      </c>
    </row>
    <row r="8" spans="1:2" s="10" customFormat="1" ht="30">
      <c r="A8" s="100" t="s">
        <v>46</v>
      </c>
    </row>
    <row r="9" spans="1:2" ht="41.45">
      <c r="A9" s="101" t="s">
        <v>47</v>
      </c>
    </row>
    <row r="10" spans="1:2" s="7" customFormat="1" ht="28.15" customHeight="1">
      <c r="A10" s="103" t="s">
        <v>48</v>
      </c>
    </row>
    <row r="11" spans="1:2" s="10" customFormat="1" ht="30">
      <c r="A11" s="100" t="s">
        <v>49</v>
      </c>
    </row>
    <row r="12" spans="1:2" ht="27.6">
      <c r="A12" s="101" t="s">
        <v>50</v>
      </c>
    </row>
    <row r="13" spans="1:2" s="7" customFormat="1" ht="28.15" customHeight="1">
      <c r="A13" s="103" t="s">
        <v>51</v>
      </c>
    </row>
    <row r="14" spans="1:2" s="10" customFormat="1" ht="30">
      <c r="A14" s="100" t="s">
        <v>52</v>
      </c>
    </row>
    <row r="15" spans="1:2" ht="75" customHeight="1">
      <c r="A15" s="101" t="s">
        <v>53</v>
      </c>
    </row>
    <row r="16" spans="1:2" ht="69">
      <c r="A16" s="101" t="s">
        <v>54</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2022-03-11T22:41:12Z</dcterms:created>
  <dcterms:modified xsi:type="dcterms:W3CDTF">2026-02-18T13:53:30Z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