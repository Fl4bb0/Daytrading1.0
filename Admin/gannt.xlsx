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codeName="ThisWorkbook"/>
  <mc:AlternateContent xmlns:mc="http://schemas.openxmlformats.org/markup-compatibility/2006">
    <mc:Choice Requires="x15">
      <x15ac:absPath xmlns:x15ac="http://schemas.microsoft.com/office/spreadsheetml/2010/11/ac" url="/Users/oskarkarlsson/Desktop/DTU/4. Semester/Project Work/daytrading/Admin/"/>
    </mc:Choice>
  </mc:AlternateContent>
  <xr:revisionPtr revIDLastSave="0" documentId="13_ncr:1_{A318F6E5-9103-DD45-A383-225181C3385F}" xr6:coauthVersionLast="47" xr6:coauthVersionMax="47" xr10:uidLastSave="{00000000-0000-0000-0000-000000000000}"/>
  <bookViews>
    <workbookView xWindow="0" yWindow="660" windowWidth="34560" windowHeight="20040" xr2:uid="{00000000-000D-0000-FFFF-FFFF00000000}"/>
  </bookViews>
  <sheets>
    <sheet name="Project schedule" sheetId="11" r:id="rId1"/>
    <sheet name="About" sheetId="12" r:id="rId2"/>
  </sheets>
  <definedNames>
    <definedName name="Display_Week">'Project schedule'!$Q$2</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 name="_xlnm.Print_Area" localSheetId="0">'Project schedule'!$B$1:$ER$29</definedName>
    <definedName name="_xlnm.Print_Titles" localSheetId="0">'Project schedule'!$4:$6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3" i="11" l="1"/>
  <c r="I5" i="11"/>
  <c r="J5" i="11" s="1"/>
  <c r="H7" i="11"/>
  <c r="H8" i="11"/>
  <c r="E9" i="11"/>
  <c r="H9" i="11" s="1"/>
  <c r="E10" i="11"/>
  <c r="F10" i="11"/>
  <c r="E11" i="11" s="1"/>
  <c r="H11" i="11" s="1"/>
  <c r="H10" i="11"/>
  <c r="E12" i="11"/>
  <c r="E13" i="11"/>
  <c r="F13" i="11"/>
  <c r="E15" i="11" s="1"/>
  <c r="F15" i="11" s="1"/>
  <c r="H15" i="11" s="1"/>
  <c r="H13" i="11"/>
  <c r="H14" i="11"/>
  <c r="E18" i="11"/>
  <c r="H18" i="11"/>
  <c r="E19" i="11"/>
  <c r="F19" i="11"/>
  <c r="H20" i="11"/>
  <c r="H21" i="11"/>
  <c r="H22" i="11"/>
  <c r="E24" i="11"/>
  <c r="H24" i="11"/>
  <c r="H25" i="11"/>
  <c r="H26" i="11"/>
  <c r="H27" i="11"/>
  <c r="H28" i="11"/>
  <c r="H29" i="11"/>
  <c r="H30" i="11"/>
  <c r="F12" i="11" l="1"/>
  <c r="H12" i="11"/>
  <c r="H19" i="11"/>
  <c r="K5" i="11"/>
  <c r="J6" i="11"/>
  <c r="H16" i="11"/>
  <c r="H17" i="11"/>
  <c r="I4" i="11"/>
  <c r="I6" i="11"/>
  <c r="K6" i="11" l="1"/>
  <c r="L5" i="11"/>
  <c r="M5" i="11" l="1"/>
  <c r="L6" i="11"/>
  <c r="N5" i="11" l="1"/>
  <c r="M6" i="11"/>
  <c r="N6" i="11" l="1"/>
  <c r="O5" i="11"/>
  <c r="P5" i="11" l="1"/>
  <c r="O6" i="11"/>
  <c r="Q5" i="11" l="1"/>
  <c r="P4" i="11"/>
  <c r="P6" i="11"/>
  <c r="Q6" i="11" l="1"/>
  <c r="R5" i="11"/>
  <c r="R6" i="11" l="1"/>
  <c r="S5" i="11"/>
  <c r="S6" i="11" l="1"/>
  <c r="T5" i="11"/>
  <c r="U5" i="11" l="1"/>
  <c r="T6" i="11"/>
  <c r="U6" i="11" l="1"/>
  <c r="V5" i="11"/>
  <c r="V6" i="11" l="1"/>
  <c r="W5" i="11"/>
  <c r="W4" i="11" l="1"/>
  <c r="W6" i="11"/>
  <c r="X5" i="11"/>
  <c r="Y5" i="11" l="1"/>
  <c r="X6" i="11"/>
  <c r="Y6" i="11" l="1"/>
  <c r="Z5" i="11"/>
  <c r="AA5" i="11" l="1"/>
  <c r="Z6" i="11"/>
  <c r="AA6" i="11" l="1"/>
  <c r="AB5" i="11"/>
  <c r="AC5" i="11" l="1"/>
  <c r="AB6" i="11"/>
  <c r="AC6" i="11" l="1"/>
  <c r="AD5" i="11"/>
  <c r="AE5" i="11" l="1"/>
  <c r="AD6" i="11"/>
  <c r="AD4" i="11"/>
  <c r="AF5" i="11" l="1"/>
  <c r="AE6" i="11"/>
  <c r="AG5" i="11" l="1"/>
  <c r="AF6" i="11"/>
  <c r="AG6" i="11" l="1"/>
  <c r="AH5" i="11"/>
  <c r="AH6" i="11" l="1"/>
  <c r="AI5" i="11"/>
  <c r="AI6" i="11" l="1"/>
  <c r="AJ5" i="11"/>
  <c r="AJ6" i="11" l="1"/>
  <c r="AK5" i="11"/>
  <c r="AL5" i="11" l="1"/>
  <c r="AK6" i="11"/>
  <c r="AK4" i="11"/>
  <c r="AM5" i="11" l="1"/>
  <c r="AL6" i="11"/>
  <c r="AM6" i="11" l="1"/>
  <c r="AN5" i="11"/>
  <c r="AN6" i="11" l="1"/>
  <c r="AO5" i="11"/>
  <c r="AO6" i="11" l="1"/>
  <c r="AP5" i="11"/>
  <c r="AP6" i="11" l="1"/>
  <c r="AQ5" i="11"/>
  <c r="AQ6" i="11" l="1"/>
  <c r="AR5" i="11"/>
  <c r="AS5" i="11" l="1"/>
  <c r="AR4" i="11"/>
  <c r="AR6" i="11"/>
  <c r="AS6" i="11" l="1"/>
  <c r="AT5" i="11"/>
  <c r="AU5" i="11" l="1"/>
  <c r="AT6" i="11"/>
  <c r="AU6" i="11" l="1"/>
  <c r="AV5" i="11"/>
  <c r="AW5" i="11" l="1"/>
  <c r="AV6" i="11"/>
  <c r="AW6" i="11" l="1"/>
  <c r="AX5" i="11"/>
  <c r="AX6" i="11" l="1"/>
  <c r="AY5" i="11"/>
  <c r="AY6" i="11" l="1"/>
  <c r="AZ5" i="11"/>
  <c r="AY4" i="11"/>
  <c r="BA5" i="11" l="1"/>
  <c r="AZ6" i="11"/>
  <c r="BA6" i="11" l="1"/>
  <c r="BB5" i="11"/>
  <c r="BB6" i="11" l="1"/>
  <c r="BC5" i="11"/>
  <c r="BD5" i="11" l="1"/>
  <c r="BC6" i="11"/>
  <c r="BD6" i="11" l="1"/>
  <c r="BE5" i="11"/>
  <c r="BF5" i="11" l="1"/>
  <c r="BE6" i="11"/>
  <c r="BG5" i="11" l="1"/>
  <c r="BF6" i="11"/>
  <c r="BF4" i="11"/>
  <c r="BG6" i="11" l="1"/>
  <c r="BH5" i="11"/>
  <c r="BI5" i="11" l="1"/>
  <c r="BH6" i="11"/>
  <c r="BI6" i="11" l="1"/>
  <c r="BJ5" i="11"/>
  <c r="BJ6" i="11" l="1"/>
  <c r="BK5" i="11"/>
  <c r="BL5" i="11" l="1"/>
  <c r="BK6" i="11"/>
  <c r="BM5" i="11" l="1"/>
  <c r="BL6" i="11"/>
  <c r="BN5" i="11" l="1"/>
  <c r="BM6" i="11"/>
  <c r="BM4" i="11"/>
  <c r="BN6" i="11" l="1"/>
  <c r="BO5" i="11"/>
  <c r="BO6" i="11" l="1"/>
  <c r="BP5" i="11"/>
  <c r="BP6" i="11" l="1"/>
  <c r="BQ5" i="11"/>
  <c r="BQ6" i="11" l="1"/>
  <c r="BR5" i="11"/>
  <c r="BR6" i="11" l="1"/>
  <c r="BS5" i="11"/>
  <c r="BT5" i="11" l="1"/>
  <c r="BS6" i="11"/>
  <c r="BU5" i="11" l="1"/>
  <c r="BT6" i="11"/>
  <c r="BT4" i="11"/>
  <c r="BU6" i="11" l="1"/>
  <c r="BV5" i="11"/>
  <c r="BV6" i="11" l="1"/>
  <c r="BW5" i="11"/>
  <c r="BW6" i="11" l="1"/>
  <c r="BX5" i="11"/>
  <c r="BX6" i="11" l="1"/>
  <c r="BY5" i="11"/>
  <c r="BY6" i="11" l="1"/>
  <c r="BZ5" i="11"/>
  <c r="CA5" i="11" l="1"/>
  <c r="BZ6" i="11"/>
  <c r="CB5" i="11" l="1"/>
  <c r="CA4" i="11"/>
  <c r="CA6" i="11"/>
  <c r="CB6" i="11" l="1"/>
  <c r="CC5" i="11"/>
  <c r="CD5" i="11" l="1"/>
  <c r="CC6" i="11"/>
  <c r="CD6" i="11" l="1"/>
  <c r="CE5" i="11"/>
  <c r="CE6" i="11" l="1"/>
  <c r="CF5" i="11"/>
  <c r="CF6" i="11" l="1"/>
  <c r="CG5" i="11"/>
  <c r="CH5" i="11" l="1"/>
  <c r="CG6" i="11"/>
  <c r="CH4" i="11" l="1"/>
  <c r="CI5" i="11"/>
  <c r="CH6" i="11"/>
  <c r="CI6" i="11" l="1"/>
  <c r="CJ5" i="11"/>
  <c r="CK5" i="11" l="1"/>
  <c r="CJ6" i="11"/>
  <c r="CL5" i="11" l="1"/>
  <c r="CK6" i="11"/>
  <c r="CL6" i="11" l="1"/>
  <c r="CM5" i="11"/>
  <c r="CM6" i="11" l="1"/>
  <c r="CN5" i="11"/>
  <c r="CO5" i="11" l="1"/>
  <c r="CN6" i="11"/>
  <c r="CO6" i="11" l="1"/>
  <c r="CP5" i="11"/>
  <c r="CO4" i="11"/>
  <c r="CP6" i="11" l="1"/>
  <c r="CQ5" i="11"/>
  <c r="CR5" i="11" l="1"/>
  <c r="CQ6" i="11"/>
  <c r="CS5" i="11" l="1"/>
  <c r="CR6" i="11"/>
  <c r="CS6" i="11" l="1"/>
  <c r="CT5" i="11"/>
  <c r="CT6" i="11" l="1"/>
  <c r="CU5" i="11"/>
  <c r="CV5" i="11" l="1"/>
  <c r="CU6" i="11"/>
  <c r="CW5" i="11" l="1"/>
  <c r="CV6" i="11"/>
  <c r="CV4" i="11"/>
  <c r="CW6" i="11" l="1"/>
  <c r="CX5" i="11"/>
  <c r="CX6" i="11" l="1"/>
  <c r="CY5" i="11"/>
  <c r="CY6" i="11" l="1"/>
  <c r="CZ5" i="11"/>
  <c r="CZ6" i="11" l="1"/>
  <c r="DA5" i="11"/>
  <c r="DA6" i="11" l="1"/>
  <c r="DB5" i="11"/>
  <c r="DC5" i="11" l="1"/>
  <c r="DB6" i="11"/>
  <c r="DC4" i="11" l="1"/>
  <c r="DC6" i="11"/>
  <c r="DD5" i="11"/>
  <c r="DE5" i="11" l="1"/>
  <c r="DD6" i="11"/>
  <c r="DE6" i="11" l="1"/>
  <c r="DF5" i="11"/>
  <c r="DF6" i="11" l="1"/>
  <c r="DG5" i="11"/>
  <c r="DG6" i="11" l="1"/>
  <c r="DH5" i="11"/>
  <c r="DH6" i="11" l="1"/>
  <c r="DI5" i="11"/>
  <c r="DJ5" i="11" l="1"/>
  <c r="DI6" i="11"/>
  <c r="DJ4" i="11" l="1"/>
  <c r="DK5" i="11"/>
  <c r="DJ6" i="11"/>
  <c r="DK6" i="11" l="1"/>
  <c r="DL5" i="11"/>
  <c r="DL6" i="11" l="1"/>
  <c r="DM5" i="11"/>
  <c r="DN5" i="11" l="1"/>
  <c r="DM6" i="11"/>
  <c r="DN6" i="11" l="1"/>
  <c r="DO5" i="11"/>
  <c r="DP5" i="11" l="1"/>
  <c r="DO6" i="11"/>
  <c r="DQ5" i="11" l="1"/>
  <c r="DP6" i="11"/>
  <c r="DQ6" i="11" l="1"/>
  <c r="DQ4" i="11"/>
  <c r="DR5" i="11"/>
  <c r="DR6" i="11" l="1"/>
  <c r="DS5" i="11"/>
  <c r="DS6" i="11" l="1"/>
  <c r="DT5" i="11"/>
  <c r="DT6" i="11" l="1"/>
  <c r="DU5" i="11"/>
  <c r="DV5" i="11" l="1"/>
  <c r="DU6" i="11"/>
  <c r="DV6" i="11" l="1"/>
  <c r="DW5" i="11"/>
  <c r="DX5" i="11" l="1"/>
  <c r="DW6" i="11"/>
  <c r="DY5" i="11" l="1"/>
  <c r="DX4" i="11"/>
  <c r="DX6" i="11"/>
  <c r="DY6" i="11" l="1"/>
  <c r="DZ5" i="11"/>
  <c r="DZ6" i="11" l="1"/>
  <c r="EA5" i="11"/>
  <c r="EA6" i="11" l="1"/>
  <c r="EB5" i="11"/>
  <c r="EC5" i="11" l="1"/>
  <c r="EB6" i="11"/>
  <c r="EC6" i="11" l="1"/>
  <c r="ED5" i="11"/>
  <c r="EE5" i="11" l="1"/>
  <c r="ED6" i="11"/>
  <c r="EE6" i="11" l="1"/>
  <c r="EE4" i="11"/>
  <c r="EF5" i="11"/>
  <c r="EG5" i="11" l="1"/>
  <c r="EF6" i="11"/>
  <c r="EG6" i="11" l="1"/>
  <c r="EH5" i="11"/>
  <c r="EH6" i="11" l="1"/>
  <c r="EI5" i="11"/>
  <c r="EJ5" i="11" l="1"/>
  <c r="EI6" i="11"/>
  <c r="EJ6" i="11" l="1"/>
  <c r="EK5" i="11"/>
  <c r="EL5" i="11" l="1"/>
  <c r="EK6" i="11"/>
  <c r="EM5" i="11" l="1"/>
  <c r="EL6" i="11"/>
  <c r="EL4" i="11"/>
  <c r="EM6" i="11" l="1"/>
  <c r="EN5" i="11"/>
  <c r="EN6" i="11" l="1"/>
  <c r="EO5" i="11"/>
  <c r="EO6" i="11" l="1"/>
  <c r="EP5" i="11"/>
  <c r="EQ5" i="11" l="1"/>
  <c r="EP6" i="11"/>
  <c r="EQ6" i="11" l="1"/>
  <c r="ER5" i="11"/>
  <c r="ER6" i="11" s="1"/>
</calcChain>
</file>

<file path=xl/sharedStrings.xml><?xml version="1.0" encoding="utf-8"?>
<sst xmlns="http://schemas.openxmlformats.org/spreadsheetml/2006/main" count="65" uniqueCount="48">
  <si>
    <t>Project start:</t>
  </si>
  <si>
    <t>Display week:</t>
  </si>
  <si>
    <t>SIMPLE GANTT CHART by Vertex42.com</t>
  </si>
  <si>
    <t>TASK</t>
  </si>
  <si>
    <t>ASSIGNED TO</t>
  </si>
  <si>
    <t>PROGRESS</t>
  </si>
  <si>
    <t>START</t>
  </si>
  <si>
    <t>END</t>
  </si>
  <si>
    <t xml:space="preserve">Do not delete this row. This row is hidden to preserve a formula that is used to highlight the current day within the project schedule. </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</si>
  <si>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</si>
  <si>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</si>
  <si>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</si>
  <si>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</si>
  <si>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</si>
  <si>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</si>
  <si>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</si>
  <si>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</si>
  <si>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</si>
  <si>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</si>
  <si>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</si>
  <si>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</si>
  <si>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</si>
  <si>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Daytrading</t>
  </si>
  <si>
    <t>Preparation</t>
  </si>
  <si>
    <t>Fabian Charrier (FC), Oskar Karlson (OK) &amp;</t>
  </si>
  <si>
    <t>Valdemar Foster (VF)</t>
  </si>
  <si>
    <t>FC, OK, VF</t>
  </si>
  <si>
    <t>Brainstorm and select idea for the project</t>
  </si>
  <si>
    <t>Draft contract of collab, gannt chart and project canvas</t>
  </si>
  <si>
    <t>Finish final part of the project plan</t>
  </si>
  <si>
    <t>Write midway project report</t>
  </si>
  <si>
    <t>Find data source</t>
  </si>
  <si>
    <t>Project Phase 1</t>
  </si>
  <si>
    <t>Incorporate peer feedback</t>
  </si>
  <si>
    <t>Project Phase 2</t>
  </si>
  <si>
    <t>Update project plan</t>
  </si>
  <si>
    <t>Write final report</t>
  </si>
  <si>
    <t>Project Final Phase</t>
  </si>
  <si>
    <t>Prepare pitch</t>
  </si>
  <si>
    <t>Prepare presentation</t>
  </si>
  <si>
    <t>Submit assignment</t>
  </si>
  <si>
    <t>Submit project plan on Learn</t>
  </si>
  <si>
    <t>Write state-of-the-art intro + problem formulation</t>
  </si>
  <si>
    <t>Prepare written peer feedback (sparring groups)</t>
  </si>
  <si>
    <t>Write abstract</t>
  </si>
  <si>
    <t>Develop a draft model</t>
  </si>
  <si>
    <t>Gather results</t>
  </si>
  <si>
    <t>Iterate and finalize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</si>
</sst>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_(* \(#,##0.00\);_(* &quot;-&quot;??_);_(@_)"/>
    <numFmt numFmtId="165" formatCode="m/d/yy;@"/>
    <numFmt numFmtId="166" formatCode="ddd\,\ m/d/yyyy"/>
    <numFmt numFmtId="167" formatCode="mmm\ d\,\ yyyy"/>
    <numFmt numFmtId="168" formatCode="d"/>
    <numFmt numFmtId="169" formatCode="dd/mm/yy"/>
  </numFmts>
  <fonts count="30"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
      <sz val="11"/>
      <color rgb="FF000000"/>
      <name val="Arial"/>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rgb="FFFFFFFF"/>
        <bgColor indexed="64"/>
      </patternFill>
    </fill>
  </fills>
  <borders count="30">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right/>
      <top style="thin">
        <color auto="1"/>
      </top>
      <bottom style="thin">
        <color auto="1"/>
      </bottom>
      <diagonal/>
    </border>
    <border>
      <left style="thin">
        <color theme="1" tint="0.499984740745262"/>
      </left>
      <right/>
      <top/>
      <bottom style="thin">
        <color theme="1" tint="0.499984740745262"/>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59996337778862885"/>
      </top>
      <bottom/>
      <diagonal/>
    </border>
    <border>
      <left/>
      <right/>
      <top style="thin">
        <color rgb="FFC1A9FC"/>
      </top>
      <bottom/>
      <diagonal/>
    </border>
    <border>
      <left/>
      <right/>
      <top style="thin">
        <color rgb="FFC1A9FC"/>
      </top>
      <bottom style="thin">
        <color rgb="FFC1A9FC"/>
      </bottom>
      <diagonal/>
    </border>
    <border>
      <left/>
      <right/>
      <top style="medium">
        <color theme="0" tint="-0.14996795556505021"/>
      </top>
      <bottom/>
      <diagonal/>
    </border>
    <border>
      <left/>
      <right/>
      <top/>
      <bottom style="medium">
        <color theme="0" tint="-0.14996795556505021"/>
      </bottom>
      <diagonal/>
    </border>
    <border>
      <left/>
      <right/>
      <top style="medium">
        <color rgb="FFD9D9D9"/>
      </top>
      <bottom style="medium">
        <color rgb="FFD9D9D9"/>
      </bottom>
      <diagonal/>
    </border>
    <border>
      <left/>
      <right/>
      <top style="medium">
        <color rgb="FFD9D9D9"/>
      </top>
      <bottom/>
      <diagonal/>
    </border>
    <border>
      <left/>
      <right/>
      <top style="thin">
        <color rgb="FFF2F2F2"/>
      </top>
      <bottom/>
      <diagonal/>
    </border>
    <border>
      <left/>
      <right/>
      <top style="thin">
        <color rgb="FFF2F2F2"/>
      </top>
      <bottom style="thin">
        <color rgb="FFF2F2F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37">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8" fontId="20" fillId="12" borderId="15" xfId="0" applyNumberFormat="1" applyFont="1" applyFill="1" applyBorder="1" applyAlignment="1">
      <alignment horizontal="center" vertical="center"/>
    </xf>
    <xf numFmtId="168" fontId="20" fillId="12" borderId="13" xfId="0" applyNumberFormat="1" applyFont="1" applyFill="1" applyBorder="1" applyAlignment="1">
      <alignment horizontal="center" vertical="center"/>
    </xf>
    <xf numFmtId="168" fontId="20" fillId="12" borderId="14" xfId="0" applyNumberFormat="1" applyFont="1" applyFill="1" applyBorder="1" applyAlignment="1">
      <alignment horizontal="center" vertical="center"/>
    </xf>
    <xf numFmtId="0" fontId="21" fillId="2" borderId="12" xfId="0" applyFont="1" applyFill="1" applyBorder="1" applyAlignment="1">
      <alignment horizontal="center" vertical="center" shrinkToFit="1"/>
    </xf>
    <xf numFmtId="0" fontId="21" fillId="2" borderId="9" xfId="0" applyFont="1" applyFill="1" applyBorder="1" applyAlignment="1">
      <alignment horizontal="center" vertical="center" shrinkToFit="1"/>
    </xf>
    <xf numFmtId="0" fontId="21" fillId="2" borderId="10" xfId="0" applyFont="1" applyFill="1" applyBorder="1" applyAlignment="1">
      <alignment horizontal="center" vertical="center" shrinkToFit="1"/>
    </xf>
    <xf numFmtId="0" fontId="18" fillId="0" borderId="0" xfId="0" applyFont="1"/>
    <xf numFmtId="0" fontId="18" fillId="0" borderId="0" xfId="0" applyFont="1" applyAlignment="1">
      <alignment wrapText="1"/>
    </xf>
    <xf numFmtId="0" fontId="4" fillId="0" borderId="3" xfId="0" applyFont="1" applyBorder="1" applyAlignment="1">
      <alignment vertical="center"/>
    </xf>
    <xf numFmtId="0" fontId="22" fillId="6" borderId="0" xfId="0" applyFont="1" applyFill="1" applyAlignment="1">
      <alignment horizontal="left" vertical="center" indent="1"/>
    </xf>
    <xf numFmtId="0" fontId="18" fillId="6" borderId="0" xfId="11" applyFont="1" applyFill="1" applyBorder="1" applyAlignment="1">
      <alignment vertical="center"/>
    </xf>
    <xf numFmtId="9" fontId="1" fillId="6" borderId="0" xfId="2" applyFont="1" applyFill="1" applyBorder="1" applyAlignment="1">
      <alignment horizontal="center" vertical="center"/>
    </xf>
    <xf numFmtId="165" fontId="18" fillId="6" borderId="0" xfId="0" applyNumberFormat="1" applyFont="1" applyFill="1" applyAlignment="1">
      <alignment horizontal="center" vertical="center"/>
    </xf>
    <xf numFmtId="165" fontId="1" fillId="6" borderId="0" xfId="0" applyNumberFormat="1" applyFont="1" applyFill="1" applyAlignment="1">
      <alignment horizontal="center" vertical="center"/>
    </xf>
    <xf numFmtId="0" fontId="4" fillId="0" borderId="0" xfId="0" applyFont="1" applyAlignment="1">
      <alignment vertical="center"/>
    </xf>
    <xf numFmtId="0" fontId="18" fillId="3" borderId="5" xfId="12" applyFont="1" applyFill="1" applyBorder="1">
      <alignment horizontal="left" vertical="center" indent="2"/>
    </xf>
    <xf numFmtId="0" fontId="18" fillId="3" borderId="5" xfId="11" applyFont="1" applyFill="1" applyBorder="1" applyAlignment="1">
      <alignment vertical="center"/>
    </xf>
    <xf numFmtId="9" fontId="1" fillId="3" borderId="5" xfId="2" applyFont="1" applyFill="1" applyBorder="1" applyAlignment="1">
      <alignment horizontal="center" vertical="center"/>
    </xf>
    <xf numFmtId="0" fontId="22" fillId="7" borderId="0" xfId="0" applyFont="1" applyFill="1" applyAlignment="1">
      <alignment horizontal="left" vertical="center" indent="1"/>
    </xf>
    <xf numFmtId="0" fontId="18" fillId="7" borderId="0" xfId="11" applyFont="1" applyFill="1" applyBorder="1" applyAlignment="1">
      <alignment vertical="center"/>
    </xf>
    <xf numFmtId="9" fontId="1" fillId="7" borderId="0" xfId="2" applyFont="1" applyFill="1" applyBorder="1" applyAlignment="1">
      <alignment horizontal="center" vertical="center"/>
    </xf>
    <xf numFmtId="0" fontId="18" fillId="4" borderId="4" xfId="12" applyFont="1" applyFill="1" applyBorder="1">
      <alignment horizontal="left" vertical="center" indent="2"/>
    </xf>
    <xf numFmtId="0" fontId="18" fillId="4" borderId="4" xfId="11" applyFont="1" applyFill="1" applyBorder="1" applyAlignment="1">
      <alignment vertical="center"/>
    </xf>
    <xf numFmtId="9" fontId="1" fillId="4" borderId="4" xfId="2" applyFont="1" applyFill="1" applyBorder="1" applyAlignment="1">
      <alignment horizontal="center" vertical="center"/>
    </xf>
    <xf numFmtId="0" fontId="22" fillId="8" borderId="0" xfId="0" applyFont="1" applyFill="1" applyAlignment="1">
      <alignment horizontal="left" vertical="center" indent="1"/>
    </xf>
    <xf numFmtId="0" fontId="18" fillId="8" borderId="0" xfId="11" applyFont="1" applyFill="1" applyBorder="1" applyAlignment="1">
      <alignment vertical="center"/>
    </xf>
    <xf numFmtId="9" fontId="1" fillId="8" borderId="0" xfId="2" applyFont="1" applyFill="1" applyBorder="1" applyAlignment="1">
      <alignment horizontal="center" vertical="center"/>
    </xf>
    <xf numFmtId="0" fontId="18" fillId="5" borderId="6" xfId="12" applyFont="1" applyFill="1" applyBorder="1">
      <alignment horizontal="left" vertical="center" indent="2"/>
    </xf>
    <xf numFmtId="0" fontId="18" fillId="5" borderId="6" xfId="11" applyFont="1" applyFill="1" applyBorder="1" applyAlignment="1">
      <alignment vertical="center"/>
    </xf>
    <xf numFmtId="9" fontId="1" fillId="5" borderId="6" xfId="2" applyFont="1" applyFill="1" applyBorder="1" applyAlignment="1">
      <alignment horizontal="center" vertical="center"/>
    </xf>
    <xf numFmtId="0" fontId="22" fillId="9" borderId="0" xfId="0" applyFont="1" applyFill="1" applyAlignment="1">
      <alignment horizontal="left" vertical="center" indent="1"/>
    </xf>
    <xf numFmtId="0" fontId="18" fillId="9" borderId="0" xfId="11" applyFont="1" applyFill="1" applyBorder="1" applyAlignment="1">
      <alignment vertical="center"/>
    </xf>
    <xf numFmtId="9" fontId="1" fillId="9" borderId="0" xfId="2" applyFont="1" applyFill="1" applyBorder="1" applyAlignment="1">
      <alignment horizontal="center" vertical="center"/>
    </xf>
    <xf numFmtId="0" fontId="18" fillId="10" borderId="7" xfId="12" applyFont="1" applyFill="1" applyBorder="1">
      <alignment horizontal="left" vertical="center" indent="2"/>
    </xf>
    <xf numFmtId="0" fontId="18" fillId="10" borderId="7" xfId="11" applyFont="1" applyFill="1" applyBorder="1" applyAlignment="1">
      <alignment vertical="center"/>
    </xf>
    <xf numFmtId="9" fontId="1" fillId="10" borderId="7" xfId="2" applyFont="1" applyFill="1" applyBorder="1" applyAlignment="1">
      <alignment horizontal="center" vertical="center"/>
    </xf>
    <xf numFmtId="0" fontId="18" fillId="0" borderId="0" xfId="12" applyFont="1" applyBorder="1">
      <alignment horizontal="left" vertical="center" indent="2"/>
    </xf>
    <xf numFmtId="0" fontId="18" fillId="0" borderId="0" xfId="11" applyFont="1" applyBorder="1" applyAlignment="1">
      <alignment vertical="center"/>
    </xf>
    <xf numFmtId="9" fontId="1" fillId="0" borderId="0" xfId="2" applyFont="1" applyBorder="1" applyAlignment="1">
      <alignment horizontal="center" vertical="center"/>
    </xf>
    <xf numFmtId="165" fontId="18" fillId="0" borderId="0" xfId="10" applyFont="1" applyBorder="1">
      <alignment horizontal="center" vertical="center"/>
    </xf>
    <xf numFmtId="0" fontId="23" fillId="0" borderId="0" xfId="6" applyFont="1" applyAlignment="1">
      <alignment horizontal="left" vertical="center" indent="1"/>
    </xf>
    <xf numFmtId="0" fontId="23" fillId="0" borderId="0" xfId="7" applyFont="1" applyAlignment="1">
      <alignment horizontal="left" vertical="center" indent="1"/>
    </xf>
    <xf numFmtId="0" fontId="26"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3" fillId="0" borderId="0" xfId="0" applyFont="1" applyAlignment="1">
      <alignment horizontal="left" vertical="center" indent="1"/>
    </xf>
    <xf numFmtId="0" fontId="27" fillId="0" borderId="0" xfId="0" applyFont="1" applyAlignment="1">
      <alignment horizontal="left" vertical="top" wrapText="1" indent="1"/>
    </xf>
    <xf numFmtId="0" fontId="0" fillId="0" borderId="0" xfId="0" applyAlignment="1">
      <alignment horizontal="left" vertical="top" wrapText="1" indent="1"/>
    </xf>
    <xf numFmtId="0" fontId="28"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8" fillId="3" borderId="5" xfId="10" applyNumberFormat="1" applyFont="1" applyFill="1" applyBorder="1">
      <alignment horizontal="center" vertical="center"/>
    </xf>
    <xf numFmtId="169" fontId="18"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8" fillId="4" borderId="4" xfId="10" applyNumberFormat="1" applyFont="1" applyFill="1" applyBorder="1">
      <alignment horizontal="center" vertical="center"/>
    </xf>
    <xf numFmtId="169" fontId="18"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8" fillId="5" borderId="6" xfId="10" applyNumberFormat="1" applyFont="1" applyFill="1" applyBorder="1">
      <alignment horizontal="center" vertical="center"/>
    </xf>
    <xf numFmtId="169" fontId="18"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8" fillId="10" borderId="7" xfId="10" applyNumberFormat="1" applyFont="1" applyFill="1" applyBorder="1">
      <alignment horizontal="center" vertical="center"/>
    </xf>
    <xf numFmtId="0" fontId="18" fillId="4" borderId="0" xfId="12" applyFont="1" applyFill="1" applyBorder="1">
      <alignment horizontal="left" vertical="center" indent="2"/>
    </xf>
    <xf numFmtId="0" fontId="18" fillId="4" borderId="0" xfId="11" applyFont="1" applyFill="1" applyBorder="1" applyAlignment="1">
      <alignment vertical="center"/>
    </xf>
    <xf numFmtId="9" fontId="1" fillId="4" borderId="0" xfId="2" applyFont="1" applyFill="1" applyBorder="1" applyAlignment="1">
      <alignment horizontal="center" vertical="center"/>
    </xf>
    <xf numFmtId="169" fontId="18" fillId="4" borderId="0" xfId="10" applyNumberFormat="1" applyFont="1" applyFill="1" applyBorder="1">
      <alignment horizontal="center" vertical="center"/>
    </xf>
    <xf numFmtId="0" fontId="18" fillId="10" borderId="0" xfId="12" applyFont="1" applyFill="1" applyBorder="1">
      <alignment horizontal="left" vertical="center" indent="2"/>
    </xf>
    <xf numFmtId="0" fontId="18" fillId="10" borderId="0" xfId="11" applyFont="1" applyFill="1" applyBorder="1" applyAlignment="1">
      <alignment vertical="center"/>
    </xf>
    <xf numFmtId="9" fontId="1" fillId="10" borderId="0" xfId="2" applyFont="1" applyFill="1" applyBorder="1" applyAlignment="1">
      <alignment horizontal="center" vertical="center"/>
    </xf>
    <xf numFmtId="169" fontId="18" fillId="10" borderId="0" xfId="10" applyNumberFormat="1" applyFont="1" applyFill="1" applyBorder="1">
      <alignment horizontal="center" vertical="center"/>
    </xf>
    <xf numFmtId="0" fontId="4" fillId="13" borderId="8" xfId="0" applyFont="1" applyFill="1" applyBorder="1" applyAlignment="1">
      <alignment vertical="center"/>
    </xf>
    <xf numFmtId="168" fontId="20" fillId="12" borderId="18" xfId="0" applyNumberFormat="1" applyFont="1" applyFill="1" applyBorder="1" applyAlignment="1">
      <alignment horizontal="center" vertical="center"/>
    </xf>
    <xf numFmtId="168" fontId="20" fillId="12" borderId="16" xfId="0" applyNumberFormat="1" applyFont="1" applyFill="1" applyBorder="1" applyAlignment="1">
      <alignment horizontal="center" vertical="center"/>
    </xf>
    <xf numFmtId="0" fontId="18" fillId="3" borderId="21" xfId="12" applyFont="1" applyFill="1" applyBorder="1">
      <alignment horizontal="left" vertical="center" indent="2"/>
    </xf>
    <xf numFmtId="0" fontId="18" fillId="3" borderId="22" xfId="12" applyFont="1" applyFill="1" applyBorder="1">
      <alignment horizontal="left" vertical="center" indent="2"/>
    </xf>
    <xf numFmtId="0" fontId="18" fillId="3" borderId="23" xfId="12" applyFont="1" applyFill="1" applyBorder="1">
      <alignment horizontal="left" vertical="center" indent="2"/>
    </xf>
    <xf numFmtId="0" fontId="18" fillId="3" borderId="21" xfId="11" applyFont="1" applyFill="1" applyBorder="1" applyAlignment="1">
      <alignment vertical="center"/>
    </xf>
    <xf numFmtId="0" fontId="18" fillId="3" borderId="22" xfId="11" applyFont="1" applyFill="1" applyBorder="1" applyAlignment="1">
      <alignment vertical="center"/>
    </xf>
    <xf numFmtId="0" fontId="18" fillId="3" borderId="23" xfId="11" applyFont="1" applyFill="1" applyBorder="1" applyAlignment="1">
      <alignment vertical="center"/>
    </xf>
    <xf numFmtId="9" fontId="1" fillId="3" borderId="21" xfId="2" applyFont="1" applyFill="1" applyBorder="1" applyAlignment="1">
      <alignment horizontal="center" vertical="center"/>
    </xf>
    <xf numFmtId="9" fontId="1" fillId="3" borderId="22" xfId="2" applyFont="1" applyFill="1" applyBorder="1" applyAlignment="1">
      <alignment horizontal="center" vertical="center"/>
    </xf>
    <xf numFmtId="9" fontId="1" fillId="3" borderId="23" xfId="2" applyFont="1" applyFill="1" applyBorder="1" applyAlignment="1">
      <alignment horizontal="center" vertical="center"/>
    </xf>
    <xf numFmtId="169" fontId="18" fillId="3" borderId="21" xfId="10" applyNumberFormat="1" applyFont="1" applyFill="1" applyBorder="1">
      <alignment horizontal="center" vertical="center"/>
    </xf>
    <xf numFmtId="169" fontId="18" fillId="3" borderId="22" xfId="10" applyNumberFormat="1" applyFont="1" applyFill="1" applyBorder="1">
      <alignment horizontal="center" vertical="center"/>
    </xf>
    <xf numFmtId="169" fontId="18" fillId="3" borderId="23" xfId="10" applyNumberFormat="1" applyFont="1" applyFill="1" applyBorder="1">
      <alignment horizontal="center" vertical="center"/>
    </xf>
    <xf numFmtId="0" fontId="3" fillId="0" borderId="24" xfId="0" applyFont="1" applyBorder="1" applyAlignment="1">
      <alignment horizontal="center" vertical="center"/>
    </xf>
    <xf numFmtId="0" fontId="3" fillId="0" borderId="25" xfId="0" applyFont="1" applyBorder="1" applyAlignment="1">
      <alignment horizontal="center" vertical="center"/>
    </xf>
    <xf numFmtId="0" fontId="3" fillId="0" borderId="26" xfId="0" applyFont="1" applyBorder="1" applyAlignment="1">
      <alignment horizontal="center" vertical="center"/>
    </xf>
    <xf numFmtId="0" fontId="3" fillId="0" borderId="27" xfId="0" applyFont="1" applyBorder="1" applyAlignment="1">
      <alignment horizontal="center" vertical="center"/>
    </xf>
    <xf numFmtId="167" fontId="18" fillId="2" borderId="19" xfId="0" applyNumberFormat="1" applyFont="1" applyFill="1" applyBorder="1" applyAlignment="1">
      <alignment horizontal="center" vertical="center" wrapText="1"/>
    </xf>
    <xf numFmtId="167" fontId="18" fillId="2" borderId="17" xfId="0" applyNumberFormat="1" applyFont="1" applyFill="1" applyBorder="1" applyAlignment="1">
      <alignment horizontal="center" vertical="center" wrapText="1"/>
    </xf>
    <xf numFmtId="167" fontId="18" fillId="2" borderId="20" xfId="0" applyNumberFormat="1" applyFont="1" applyFill="1" applyBorder="1" applyAlignment="1">
      <alignment horizontal="center" vertical="center" wrapText="1"/>
    </xf>
    <xf numFmtId="0" fontId="13" fillId="0" borderId="0" xfId="3" applyAlignment="1">
      <alignment wrapText="1"/>
    </xf>
    <xf numFmtId="0" fontId="19" fillId="11" borderId="11" xfId="0" applyFont="1" applyFill="1" applyBorder="1" applyAlignment="1">
      <alignment horizontal="left" vertical="center" indent="1"/>
    </xf>
    <xf numFmtId="0" fontId="19" fillId="11" borderId="16" xfId="0" applyFont="1" applyFill="1" applyBorder="1" applyAlignment="1">
      <alignment horizontal="left" vertical="center" indent="1"/>
    </xf>
    <xf numFmtId="0" fontId="19" fillId="11" borderId="11" xfId="0" applyFont="1" applyFill="1" applyBorder="1" applyAlignment="1">
      <alignment vertical="center"/>
    </xf>
    <xf numFmtId="0" fontId="19" fillId="11" borderId="16" xfId="0" applyFont="1" applyFill="1" applyBorder="1" applyAlignment="1">
      <alignment vertical="center"/>
    </xf>
    <xf numFmtId="0" fontId="19" fillId="11" borderId="11" xfId="0" applyFont="1" applyFill="1" applyBorder="1" applyAlignment="1">
      <alignment horizontal="center" vertical="center"/>
    </xf>
    <xf numFmtId="0" fontId="19" fillId="11" borderId="16" xfId="0" applyFont="1" applyFill="1" applyBorder="1" applyAlignment="1">
      <alignment horizontal="center" vertical="center"/>
    </xf>
    <xf numFmtId="0" fontId="24" fillId="0" borderId="0" xfId="0" applyFont="1" applyAlignment="1">
      <alignment horizontal="left"/>
    </xf>
    <xf numFmtId="0" fontId="25" fillId="0" borderId="0" xfId="0" applyFont="1"/>
    <xf numFmtId="166" fontId="24" fillId="0" borderId="0" xfId="9" applyFont="1" applyBorder="1" applyAlignment="1">
      <alignment horizontal="left"/>
    </xf>
    <xf numFmtId="0" fontId="23" fillId="0" borderId="0" xfId="8" applyFont="1" applyAlignment="1">
      <alignment horizontal="left"/>
    </xf>
    <xf numFmtId="0" fontId="4" fillId="0" borderId="0" xfId="0" applyFont="1"/>
    <xf numFmtId="167" fontId="18" fillId="2" borderId="15" xfId="0" applyNumberFormat="1" applyFont="1" applyFill="1" applyBorder="1" applyAlignment="1">
      <alignment horizontal="center" vertical="center" wrapText="1"/>
    </xf>
    <xf numFmtId="167" fontId="18" fillId="2" borderId="13" xfId="0" applyNumberFormat="1" applyFont="1" applyFill="1" applyBorder="1" applyAlignment="1">
      <alignment horizontal="center" vertical="center" wrapText="1"/>
    </xf>
    <xf numFmtId="167" fontId="18" fillId="2" borderId="14" xfId="0" applyNumberFormat="1" applyFont="1" applyFill="1" applyBorder="1" applyAlignment="1">
      <alignment horizontal="center" vertical="center" wrapText="1"/>
    </xf>
    <xf numFmtId="0" fontId="29" fillId="13" borderId="28" xfId="0" applyFont="1" applyFill="1" applyBorder="1"/>
    <xf numFmtId="0" fontId="29" fillId="13" borderId="29" xfId="0" applyFont="1" applyFill="1" applyBorder="1"/>
    <xf numFmtId="0" fontId="4" fillId="13" borderId="0" xfId="0" applyFont="1" applyFill="1" applyBorder="1" applyAlignment="1">
      <alignment vertical="center"/>
    </xf>
  </cellXfs>
  <cellStyles count="13">
    <cellStyle name="Date" xfId="10" xr:uid="{229918B6-DD13-4F5A-97B9-305F7E002AA3}"/>
    <cellStyle name="Komma" xfId="4" builtinId="3" customBuiltin="1"/>
    <cellStyle name="Link" xfId="1" builtinId="8" customBuiltin="1"/>
    <cellStyle name="Name" xfId="11" xr:uid="{B2D3C1EE-6B41-4801-AAFC-C2274E49E503}"/>
    <cellStyle name="Normal" xfId="0" builtinId="0"/>
    <cellStyle name="Overskrift 1" xfId="6" builtinId="16" customBuiltin="1"/>
    <cellStyle name="Overskrift 2" xfId="7" builtinId="17" customBuiltin="1"/>
    <cellStyle name="Overskrift 3" xfId="8" builtinId="18" customBuiltin="1"/>
    <cellStyle name="Procent" xfId="2" builtinId="5"/>
    <cellStyle name="Project Start" xfId="9" xr:uid="{8EB8A09A-C31C-40A3-B2C1-9449520178B8}"/>
    <cellStyle name="Task" xfId="12" xr:uid="{6391D789-272B-4DD2-9BF3-2CDCF610FA41}"/>
    <cellStyle name="Titel" xfId="5" builtinId="15" customBuiltin="1"/>
    <cellStyle name="zHiddenText" xfId="3" xr:uid="{26E66EE6-E33F-4D77-BAE4-0FB4F5BBF673}"/>
  </cellStyles>
  <dxfs count="164">
    <dxf>
      <fill>
        <patternFill patternType="solid">
          <fgColor indexed="64"/>
          <bgColor rgb="FFFFF4A8"/>
        </patternFill>
      </fill>
    </dxf>
    <dxf>
      <fill>
        <patternFill patternType="solid">
          <fgColor indexed="64"/>
          <bgColor rgb="FFFFF4A8"/>
        </patternFill>
      </fill>
    </dxf>
    <dxf>
      <fill>
        <patternFill patternType="solid">
          <fgColor indexed="64"/>
          <bgColor rgb="FFFFF4A8"/>
        </patternFill>
      </fill>
    </dxf>
    <dxf>
      <fill>
        <patternFill patternType="solid">
          <fgColor indexed="64"/>
          <bgColor rgb="FFFFF4A8"/>
        </patternFill>
      </fill>
    </dxf>
    <dxf>
      <fill>
        <patternFill patternType="solid">
          <fgColor indexed="64"/>
          <bgColor rgb="FFCAEAD7"/>
        </patternFill>
      </fill>
    </dxf>
    <dxf>
      <fill>
        <patternFill patternType="solid">
          <fgColor indexed="64"/>
          <bgColor rgb="FFCAEAD7"/>
        </patternFill>
      </fill>
    </dxf>
    <dxf>
      <fill>
        <patternFill patternType="solid">
          <fgColor indexed="64"/>
          <bgColor rgb="FFCAEAD7"/>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FFF4A8"/>
        </patternFill>
      </fill>
    </dxf>
    <dxf>
      <fill>
        <patternFill patternType="solid">
          <fgColor indexed="64"/>
          <bgColor rgb="FFFFF4A8"/>
        </patternFill>
      </fill>
    </dxf>
    <dxf>
      <fill>
        <patternFill patternType="solid">
          <fgColor indexed="64"/>
          <bgColor rgb="FFFFF4A8"/>
        </patternFill>
      </fill>
    </dxf>
    <dxf>
      <fill>
        <patternFill patternType="solid">
          <fgColor indexed="64"/>
          <bgColor rgb="FFFFF4A8"/>
        </patternFill>
      </fill>
    </dxf>
    <dxf>
      <fill>
        <patternFill patternType="solid">
          <fgColor indexed="64"/>
          <bgColor rgb="FFCAEAD7"/>
        </patternFill>
      </fill>
    </dxf>
    <dxf>
      <fill>
        <patternFill patternType="solid">
          <fgColor indexed="64"/>
          <bgColor rgb="FFCAEAD7"/>
        </patternFill>
      </fill>
    </dxf>
    <dxf>
      <fill>
        <patternFill patternType="solid">
          <fgColor indexed="64"/>
          <bgColor rgb="FFCAEAD7"/>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FFF4A8"/>
        </patternFill>
      </fill>
    </dxf>
    <dxf>
      <fill>
        <patternFill patternType="solid">
          <fgColor indexed="64"/>
          <bgColor rgb="FFFFF4A8"/>
        </patternFill>
      </fill>
    </dxf>
    <dxf>
      <fill>
        <patternFill patternType="solid">
          <fgColor indexed="64"/>
          <bgColor rgb="FFFFF4A8"/>
        </patternFill>
      </fill>
    </dxf>
    <dxf>
      <fill>
        <patternFill patternType="solid">
          <fgColor indexed="64"/>
          <bgColor rgb="FFFFF4A8"/>
        </patternFill>
      </fill>
    </dxf>
    <dxf>
      <fill>
        <patternFill patternType="solid">
          <fgColor indexed="64"/>
          <bgColor rgb="FFCAEAD7"/>
        </patternFill>
      </fill>
    </dxf>
    <dxf>
      <fill>
        <patternFill patternType="solid">
          <fgColor indexed="64"/>
          <bgColor rgb="FFCAEAD7"/>
        </patternFill>
      </fill>
    </dxf>
    <dxf>
      <fill>
        <patternFill patternType="solid">
          <fgColor indexed="64"/>
          <bgColor rgb="FFCAEAD7"/>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FF88E4"/>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63"/>
      <tableStyleElement type="headerRow" dxfId="162"/>
      <tableStyleElement type="totalRow" dxfId="161"/>
      <tableStyleElement type="firstColumn" dxfId="160"/>
      <tableStyleElement type="lastColumn" dxfId="159"/>
      <tableStyleElement type="firstRowStripe" dxfId="158"/>
      <tableStyleElement type="secondRowStripe" dxfId="157"/>
      <tableStyleElement type="firstColumnStripe" dxfId="156"/>
      <tableStyleElement type="secondColumnStripe" dxfId="15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5D26E-D2AA-A444-A996-2605CEEB39B0}">
  <we:reference id="29673e3c-d826-4f00-92ee-162334a52b1a" version="1.0.0.5" store="EXCatalog" storeType="EXCatalog"/>
  <we:alternateReferences>
    <we:reference id="WA200009404" version="1.0.0.5" store="en-US"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R33"/>
  <sheetViews>
    <sheetView showGridLines="0" tabSelected="1" showRuler="0" zoomScale="50" zoomScaleNormal="100" zoomScalePageLayoutView="70" workbookViewId="0">
      <selection activeCell="BZ24" sqref="BZ24"/>
    </sheetView>
  </sheetViews>
  <sheetFormatPr baseColWidth="10" defaultColWidth="8.6640625" defaultRowHeight="30" customHeight="1" x14ac:dyDescent="0.15"/>
  <cols>
    <col min="1" max="1" width="2.6640625" style="12" customWidth="1"/>
    <col min="2" max="2" width="49" customWidth="1"/>
    <col min="3" max="3" width="16.6640625" customWidth="1"/>
    <col min="4" max="4" width="10.6640625" customWidth="1"/>
    <col min="5" max="5" width="10.6640625" style="2" customWidth="1"/>
    <col min="6" max="6" width="10.6640625" customWidth="1"/>
    <col min="7" max="7" width="2.6640625" customWidth="1"/>
    <col min="8" max="8" width="6" hidden="1" customWidth="1"/>
    <col min="9" max="147" width="2.6640625" customWidth="1"/>
  </cols>
  <sheetData>
    <row r="1" spans="1:148" ht="90" customHeight="1" x14ac:dyDescent="0.85">
      <c r="A1" s="78"/>
      <c r="B1" s="70" t="s">
        <v>22</v>
      </c>
      <c r="C1" s="16"/>
      <c r="D1" s="17"/>
      <c r="E1" s="18"/>
      <c r="F1" s="19"/>
      <c r="H1" s="1"/>
      <c r="I1" s="129" t="s">
        <v>0</v>
      </c>
      <c r="J1" s="130"/>
      <c r="K1" s="130"/>
      <c r="L1" s="130"/>
      <c r="M1" s="130"/>
      <c r="N1" s="130"/>
      <c r="O1" s="130"/>
      <c r="P1" s="22"/>
      <c r="Q1" s="128">
        <v>46064</v>
      </c>
      <c r="R1" s="127"/>
      <c r="S1" s="127"/>
      <c r="T1" s="127"/>
      <c r="U1" s="127"/>
      <c r="V1" s="127"/>
      <c r="W1" s="127"/>
      <c r="X1" s="127"/>
      <c r="Y1" s="127"/>
      <c r="Z1" s="127"/>
    </row>
    <row r="2" spans="1:148" ht="30" customHeight="1" x14ac:dyDescent="0.4">
      <c r="B2" s="68" t="s">
        <v>24</v>
      </c>
      <c r="C2" s="69"/>
      <c r="D2" s="20"/>
      <c r="E2" s="21"/>
      <c r="F2" s="20"/>
      <c r="I2" s="129" t="s">
        <v>1</v>
      </c>
      <c r="J2" s="130"/>
      <c r="K2" s="130"/>
      <c r="L2" s="130"/>
      <c r="M2" s="130"/>
      <c r="N2" s="130"/>
      <c r="O2" s="130"/>
      <c r="P2" s="22"/>
      <c r="Q2" s="126">
        <v>1</v>
      </c>
      <c r="R2" s="127"/>
      <c r="S2" s="127"/>
      <c r="T2" s="127"/>
      <c r="U2" s="127"/>
      <c r="V2" s="127"/>
      <c r="W2" s="127"/>
      <c r="X2" s="127"/>
      <c r="Y2" s="127"/>
      <c r="Z2" s="127"/>
    </row>
    <row r="3" spans="1:148" s="23" customFormat="1" ht="30" customHeight="1" x14ac:dyDescent="0.15">
      <c r="A3" s="12"/>
      <c r="B3" s="68" t="s">
        <v>25</v>
      </c>
      <c r="D3" s="24"/>
      <c r="E3" s="25"/>
    </row>
    <row r="4" spans="1:148" s="23" customFormat="1" ht="30" customHeight="1" x14ac:dyDescent="0.15">
      <c r="A4" s="78"/>
      <c r="B4" s="26"/>
      <c r="E4" s="27"/>
      <c r="I4" s="131">
        <f>I5</f>
        <v>46062</v>
      </c>
      <c r="J4" s="131"/>
      <c r="K4" s="131"/>
      <c r="L4" s="131"/>
      <c r="M4" s="131"/>
      <c r="N4" s="131"/>
      <c r="O4" s="132"/>
      <c r="P4" s="133">
        <f>P5</f>
        <v>46069</v>
      </c>
      <c r="Q4" s="131"/>
      <c r="R4" s="131"/>
      <c r="S4" s="131"/>
      <c r="T4" s="131"/>
      <c r="U4" s="131"/>
      <c r="V4" s="132"/>
      <c r="W4" s="133">
        <f>W5</f>
        <v>46076</v>
      </c>
      <c r="X4" s="131"/>
      <c r="Y4" s="131"/>
      <c r="Z4" s="131"/>
      <c r="AA4" s="131"/>
      <c r="AB4" s="131"/>
      <c r="AC4" s="132"/>
      <c r="AD4" s="133">
        <f>AD5</f>
        <v>46083</v>
      </c>
      <c r="AE4" s="131"/>
      <c r="AF4" s="131"/>
      <c r="AG4" s="131"/>
      <c r="AH4" s="131"/>
      <c r="AI4" s="131"/>
      <c r="AJ4" s="132"/>
      <c r="AK4" s="133">
        <f>AK5</f>
        <v>46090</v>
      </c>
      <c r="AL4" s="131"/>
      <c r="AM4" s="131"/>
      <c r="AN4" s="131"/>
      <c r="AO4" s="131"/>
      <c r="AP4" s="131"/>
      <c r="AQ4" s="132"/>
      <c r="AR4" s="133">
        <f>AR5</f>
        <v>46097</v>
      </c>
      <c r="AS4" s="131"/>
      <c r="AT4" s="131"/>
      <c r="AU4" s="131"/>
      <c r="AV4" s="131"/>
      <c r="AW4" s="131"/>
      <c r="AX4" s="132"/>
      <c r="AY4" s="133">
        <f>AY5</f>
        <v>46104</v>
      </c>
      <c r="AZ4" s="131"/>
      <c r="BA4" s="131"/>
      <c r="BB4" s="131"/>
      <c r="BC4" s="131"/>
      <c r="BD4" s="131"/>
      <c r="BE4" s="131"/>
      <c r="BF4" s="116">
        <f>BF5</f>
        <v>46111</v>
      </c>
      <c r="BG4" s="117"/>
      <c r="BH4" s="117"/>
      <c r="BI4" s="117"/>
      <c r="BJ4" s="117"/>
      <c r="BK4" s="117"/>
      <c r="BL4" s="118"/>
      <c r="BM4" s="116">
        <f>BM5</f>
        <v>46118</v>
      </c>
      <c r="BN4" s="117"/>
      <c r="BO4" s="117"/>
      <c r="BP4" s="117"/>
      <c r="BQ4" s="117"/>
      <c r="BR4" s="117"/>
      <c r="BS4" s="118"/>
      <c r="BT4" s="116">
        <f>BT5</f>
        <v>46125</v>
      </c>
      <c r="BU4" s="117"/>
      <c r="BV4" s="117"/>
      <c r="BW4" s="117"/>
      <c r="BX4" s="117"/>
      <c r="BY4" s="117"/>
      <c r="BZ4" s="118"/>
      <c r="CA4" s="116">
        <f>CA5</f>
        <v>46132</v>
      </c>
      <c r="CB4" s="117"/>
      <c r="CC4" s="117"/>
      <c r="CD4" s="117"/>
      <c r="CE4" s="117"/>
      <c r="CF4" s="117"/>
      <c r="CG4" s="118"/>
      <c r="CH4" s="116">
        <f>CH5</f>
        <v>46139</v>
      </c>
      <c r="CI4" s="117"/>
      <c r="CJ4" s="117"/>
      <c r="CK4" s="117"/>
      <c r="CL4" s="117"/>
      <c r="CM4" s="117"/>
      <c r="CN4" s="118"/>
      <c r="CO4" s="116">
        <f>CO5</f>
        <v>46146</v>
      </c>
      <c r="CP4" s="117"/>
      <c r="CQ4" s="117"/>
      <c r="CR4" s="117"/>
      <c r="CS4" s="117"/>
      <c r="CT4" s="117"/>
      <c r="CU4" s="118"/>
      <c r="CV4" s="116">
        <f>CV5</f>
        <v>46153</v>
      </c>
      <c r="CW4" s="117"/>
      <c r="CX4" s="117"/>
      <c r="CY4" s="117"/>
      <c r="CZ4" s="117"/>
      <c r="DA4" s="117"/>
      <c r="DB4" s="118"/>
      <c r="DC4" s="116">
        <f>DC5</f>
        <v>46160</v>
      </c>
      <c r="DD4" s="117"/>
      <c r="DE4" s="117"/>
      <c r="DF4" s="117"/>
      <c r="DG4" s="117"/>
      <c r="DH4" s="117"/>
      <c r="DI4" s="118"/>
      <c r="DJ4" s="116">
        <f>DJ5</f>
        <v>46167</v>
      </c>
      <c r="DK4" s="117"/>
      <c r="DL4" s="117"/>
      <c r="DM4" s="117"/>
      <c r="DN4" s="117"/>
      <c r="DO4" s="117"/>
      <c r="DP4" s="118"/>
      <c r="DQ4" s="116">
        <f>DQ5</f>
        <v>46174</v>
      </c>
      <c r="DR4" s="117"/>
      <c r="DS4" s="117"/>
      <c r="DT4" s="117"/>
      <c r="DU4" s="117"/>
      <c r="DV4" s="117"/>
      <c r="DW4" s="118"/>
      <c r="DX4" s="116">
        <f>DX5</f>
        <v>46181</v>
      </c>
      <c r="DY4" s="117"/>
      <c r="DZ4" s="117"/>
      <c r="EA4" s="117"/>
      <c r="EB4" s="117"/>
      <c r="EC4" s="117"/>
      <c r="ED4" s="118"/>
      <c r="EE4" s="116">
        <f>EE5</f>
        <v>46188</v>
      </c>
      <c r="EF4" s="117"/>
      <c r="EG4" s="117"/>
      <c r="EH4" s="117"/>
      <c r="EI4" s="117"/>
      <c r="EJ4" s="117"/>
      <c r="EK4" s="118"/>
      <c r="EL4" s="116">
        <f>EL5</f>
        <v>46195</v>
      </c>
      <c r="EM4" s="117"/>
      <c r="EN4" s="117"/>
      <c r="EO4" s="117"/>
      <c r="EP4" s="117"/>
      <c r="EQ4" s="117"/>
      <c r="ER4" s="118"/>
    </row>
    <row r="5" spans="1:148" s="23" customFormat="1" ht="15" customHeight="1" x14ac:dyDescent="0.15">
      <c r="A5" s="119"/>
      <c r="B5" s="120" t="s">
        <v>3</v>
      </c>
      <c r="C5" s="122" t="s">
        <v>4</v>
      </c>
      <c r="D5" s="124" t="s">
        <v>5</v>
      </c>
      <c r="E5" s="124" t="s">
        <v>6</v>
      </c>
      <c r="F5" s="124" t="s">
        <v>7</v>
      </c>
      <c r="I5" s="28">
        <f>Project_Start-WEEKDAY(Project_Start,1)+2+7*(Display_Week-1)</f>
        <v>46062</v>
      </c>
      <c r="J5" s="28">
        <f>I5+1</f>
        <v>46063</v>
      </c>
      <c r="K5" s="28">
        <f t="shared" ref="K5:AX5" si="0">J5+1</f>
        <v>46064</v>
      </c>
      <c r="L5" s="28">
        <f t="shared" si="0"/>
        <v>46065</v>
      </c>
      <c r="M5" s="28">
        <f t="shared" si="0"/>
        <v>46066</v>
      </c>
      <c r="N5" s="28">
        <f t="shared" si="0"/>
        <v>46067</v>
      </c>
      <c r="O5" s="29">
        <f t="shared" si="0"/>
        <v>46068</v>
      </c>
      <c r="P5" s="30">
        <f>O5+1</f>
        <v>46069</v>
      </c>
      <c r="Q5" s="28">
        <f>P5+1</f>
        <v>46070</v>
      </c>
      <c r="R5" s="28">
        <f t="shared" si="0"/>
        <v>46071</v>
      </c>
      <c r="S5" s="28">
        <f t="shared" si="0"/>
        <v>46072</v>
      </c>
      <c r="T5" s="28">
        <f t="shared" si="0"/>
        <v>46073</v>
      </c>
      <c r="U5" s="28">
        <f t="shared" si="0"/>
        <v>46074</v>
      </c>
      <c r="V5" s="29">
        <f t="shared" si="0"/>
        <v>46075</v>
      </c>
      <c r="W5" s="30">
        <f>V5+1</f>
        <v>46076</v>
      </c>
      <c r="X5" s="28">
        <f>W5+1</f>
        <v>46077</v>
      </c>
      <c r="Y5" s="28">
        <f t="shared" si="0"/>
        <v>46078</v>
      </c>
      <c r="Z5" s="28">
        <f t="shared" si="0"/>
        <v>46079</v>
      </c>
      <c r="AA5" s="28">
        <f t="shared" si="0"/>
        <v>46080</v>
      </c>
      <c r="AB5" s="28">
        <f t="shared" si="0"/>
        <v>46081</v>
      </c>
      <c r="AC5" s="29">
        <f t="shared" si="0"/>
        <v>46082</v>
      </c>
      <c r="AD5" s="30">
        <f>AC5+1</f>
        <v>46083</v>
      </c>
      <c r="AE5" s="28">
        <f>AD5+1</f>
        <v>46084</v>
      </c>
      <c r="AF5" s="28">
        <f t="shared" si="0"/>
        <v>46085</v>
      </c>
      <c r="AG5" s="28">
        <f t="shared" si="0"/>
        <v>46086</v>
      </c>
      <c r="AH5" s="28">
        <f t="shared" si="0"/>
        <v>46087</v>
      </c>
      <c r="AI5" s="28">
        <f t="shared" si="0"/>
        <v>46088</v>
      </c>
      <c r="AJ5" s="29">
        <f t="shared" si="0"/>
        <v>46089</v>
      </c>
      <c r="AK5" s="30">
        <f>AJ5+1</f>
        <v>46090</v>
      </c>
      <c r="AL5" s="28">
        <f>AK5+1</f>
        <v>46091</v>
      </c>
      <c r="AM5" s="28">
        <f t="shared" si="0"/>
        <v>46092</v>
      </c>
      <c r="AN5" s="28">
        <f t="shared" si="0"/>
        <v>46093</v>
      </c>
      <c r="AO5" s="28">
        <f t="shared" si="0"/>
        <v>46094</v>
      </c>
      <c r="AP5" s="28">
        <f t="shared" si="0"/>
        <v>46095</v>
      </c>
      <c r="AQ5" s="29">
        <f t="shared" si="0"/>
        <v>46096</v>
      </c>
      <c r="AR5" s="30">
        <f>AQ5+1</f>
        <v>46097</v>
      </c>
      <c r="AS5" s="28">
        <f>AR5+1</f>
        <v>46098</v>
      </c>
      <c r="AT5" s="28">
        <f t="shared" si="0"/>
        <v>46099</v>
      </c>
      <c r="AU5" s="28">
        <f t="shared" si="0"/>
        <v>46100</v>
      </c>
      <c r="AV5" s="28">
        <f t="shared" si="0"/>
        <v>46101</v>
      </c>
      <c r="AW5" s="28">
        <f t="shared" si="0"/>
        <v>46102</v>
      </c>
      <c r="AX5" s="29">
        <f t="shared" si="0"/>
        <v>46103</v>
      </c>
      <c r="AY5" s="30">
        <f>AX5+1</f>
        <v>46104</v>
      </c>
      <c r="AZ5" s="28">
        <f>AY5+1</f>
        <v>46105</v>
      </c>
      <c r="BA5" s="28">
        <f t="shared" ref="BA5:BE5" si="1">AZ5+1</f>
        <v>46106</v>
      </c>
      <c r="BB5" s="28">
        <f t="shared" si="1"/>
        <v>46107</v>
      </c>
      <c r="BC5" s="28">
        <f t="shared" si="1"/>
        <v>46108</v>
      </c>
      <c r="BD5" s="28">
        <f t="shared" si="1"/>
        <v>46109</v>
      </c>
      <c r="BE5" s="29">
        <f t="shared" si="1"/>
        <v>46110</v>
      </c>
      <c r="BF5" s="98">
        <f>BE5+1</f>
        <v>46111</v>
      </c>
      <c r="BG5" s="99">
        <f>BF5+1</f>
        <v>46112</v>
      </c>
      <c r="BH5" s="99">
        <f t="shared" ref="BH5:BL5" si="2">BG5+1</f>
        <v>46113</v>
      </c>
      <c r="BI5" s="99">
        <f t="shared" si="2"/>
        <v>46114</v>
      </c>
      <c r="BJ5" s="99">
        <f t="shared" si="2"/>
        <v>46115</v>
      </c>
      <c r="BK5" s="99">
        <f t="shared" si="2"/>
        <v>46116</v>
      </c>
      <c r="BL5" s="99">
        <f t="shared" si="2"/>
        <v>46117</v>
      </c>
      <c r="BM5" s="98">
        <f>BL5+1</f>
        <v>46118</v>
      </c>
      <c r="BN5" s="99">
        <f>BM5+1</f>
        <v>46119</v>
      </c>
      <c r="BO5" s="99">
        <f t="shared" ref="BO5" si="3">BN5+1</f>
        <v>46120</v>
      </c>
      <c r="BP5" s="99">
        <f t="shared" ref="BP5" si="4">BO5+1</f>
        <v>46121</v>
      </c>
      <c r="BQ5" s="99">
        <f t="shared" ref="BQ5" si="5">BP5+1</f>
        <v>46122</v>
      </c>
      <c r="BR5" s="99">
        <f t="shared" ref="BR5" si="6">BQ5+1</f>
        <v>46123</v>
      </c>
      <c r="BS5" s="99">
        <f t="shared" ref="BS5" si="7">BR5+1</f>
        <v>46124</v>
      </c>
      <c r="BT5" s="98">
        <f>BS5+1</f>
        <v>46125</v>
      </c>
      <c r="BU5" s="99">
        <f>BT5+1</f>
        <v>46126</v>
      </c>
      <c r="BV5" s="99">
        <f t="shared" ref="BV5" si="8">BU5+1</f>
        <v>46127</v>
      </c>
      <c r="BW5" s="99">
        <f t="shared" ref="BW5" si="9">BV5+1</f>
        <v>46128</v>
      </c>
      <c r="BX5" s="99">
        <f t="shared" ref="BX5" si="10">BW5+1</f>
        <v>46129</v>
      </c>
      <c r="BY5" s="99">
        <f t="shared" ref="BY5" si="11">BX5+1</f>
        <v>46130</v>
      </c>
      <c r="BZ5" s="99">
        <f t="shared" ref="BZ5" si="12">BY5+1</f>
        <v>46131</v>
      </c>
      <c r="CA5" s="98">
        <f>BZ5+1</f>
        <v>46132</v>
      </c>
      <c r="CB5" s="99">
        <f>CA5+1</f>
        <v>46133</v>
      </c>
      <c r="CC5" s="99">
        <f t="shared" ref="CC5" si="13">CB5+1</f>
        <v>46134</v>
      </c>
      <c r="CD5" s="99">
        <f t="shared" ref="CD5" si="14">CC5+1</f>
        <v>46135</v>
      </c>
      <c r="CE5" s="99">
        <f t="shared" ref="CE5" si="15">CD5+1</f>
        <v>46136</v>
      </c>
      <c r="CF5" s="99">
        <f t="shared" ref="CF5" si="16">CE5+1</f>
        <v>46137</v>
      </c>
      <c r="CG5" s="99">
        <f t="shared" ref="CG5" si="17">CF5+1</f>
        <v>46138</v>
      </c>
      <c r="CH5" s="98">
        <f>CG5+1</f>
        <v>46139</v>
      </c>
      <c r="CI5" s="99">
        <f>CH5+1</f>
        <v>46140</v>
      </c>
      <c r="CJ5" s="99">
        <f t="shared" ref="CJ5" si="18">CI5+1</f>
        <v>46141</v>
      </c>
      <c r="CK5" s="99">
        <f t="shared" ref="CK5" si="19">CJ5+1</f>
        <v>46142</v>
      </c>
      <c r="CL5" s="99">
        <f t="shared" ref="CL5" si="20">CK5+1</f>
        <v>46143</v>
      </c>
      <c r="CM5" s="99">
        <f t="shared" ref="CM5" si="21">CL5+1</f>
        <v>46144</v>
      </c>
      <c r="CN5" s="99">
        <f t="shared" ref="CN5" si="22">CM5+1</f>
        <v>46145</v>
      </c>
      <c r="CO5" s="98">
        <f>CN5+1</f>
        <v>46146</v>
      </c>
      <c r="CP5" s="99">
        <f>CO5+1</f>
        <v>46147</v>
      </c>
      <c r="CQ5" s="99">
        <f t="shared" ref="CQ5" si="23">CP5+1</f>
        <v>46148</v>
      </c>
      <c r="CR5" s="99">
        <f t="shared" ref="CR5" si="24">CQ5+1</f>
        <v>46149</v>
      </c>
      <c r="CS5" s="99">
        <f t="shared" ref="CS5" si="25">CR5+1</f>
        <v>46150</v>
      </c>
      <c r="CT5" s="99">
        <f t="shared" ref="CT5" si="26">CS5+1</f>
        <v>46151</v>
      </c>
      <c r="CU5" s="99">
        <f t="shared" ref="CU5" si="27">CT5+1</f>
        <v>46152</v>
      </c>
      <c r="CV5" s="98">
        <f>CU5+1</f>
        <v>46153</v>
      </c>
      <c r="CW5" s="99">
        <f>CV5+1</f>
        <v>46154</v>
      </c>
      <c r="CX5" s="99">
        <f t="shared" ref="CX5" si="28">CW5+1</f>
        <v>46155</v>
      </c>
      <c r="CY5" s="99">
        <f t="shared" ref="CY5" si="29">CX5+1</f>
        <v>46156</v>
      </c>
      <c r="CZ5" s="99">
        <f t="shared" ref="CZ5" si="30">CY5+1</f>
        <v>46157</v>
      </c>
      <c r="DA5" s="99">
        <f t="shared" ref="DA5" si="31">CZ5+1</f>
        <v>46158</v>
      </c>
      <c r="DB5" s="99">
        <f t="shared" ref="DB5" si="32">DA5+1</f>
        <v>46159</v>
      </c>
      <c r="DC5" s="98">
        <f>DB5+1</f>
        <v>46160</v>
      </c>
      <c r="DD5" s="99">
        <f>DC5+1</f>
        <v>46161</v>
      </c>
      <c r="DE5" s="99">
        <f t="shared" ref="DE5" si="33">DD5+1</f>
        <v>46162</v>
      </c>
      <c r="DF5" s="99">
        <f t="shared" ref="DF5" si="34">DE5+1</f>
        <v>46163</v>
      </c>
      <c r="DG5" s="99">
        <f t="shared" ref="DG5" si="35">DF5+1</f>
        <v>46164</v>
      </c>
      <c r="DH5" s="99">
        <f t="shared" ref="DH5" si="36">DG5+1</f>
        <v>46165</v>
      </c>
      <c r="DI5" s="99">
        <f t="shared" ref="DI5" si="37">DH5+1</f>
        <v>46166</v>
      </c>
      <c r="DJ5" s="98">
        <f>DI5+1</f>
        <v>46167</v>
      </c>
      <c r="DK5" s="99">
        <f>DJ5+1</f>
        <v>46168</v>
      </c>
      <c r="DL5" s="99">
        <f t="shared" ref="DL5" si="38">DK5+1</f>
        <v>46169</v>
      </c>
      <c r="DM5" s="99">
        <f t="shared" ref="DM5" si="39">DL5+1</f>
        <v>46170</v>
      </c>
      <c r="DN5" s="99">
        <f t="shared" ref="DN5" si="40">DM5+1</f>
        <v>46171</v>
      </c>
      <c r="DO5" s="99">
        <f t="shared" ref="DO5" si="41">DN5+1</f>
        <v>46172</v>
      </c>
      <c r="DP5" s="99">
        <f t="shared" ref="DP5" si="42">DO5+1</f>
        <v>46173</v>
      </c>
      <c r="DQ5" s="98">
        <f>DP5+1</f>
        <v>46174</v>
      </c>
      <c r="DR5" s="99">
        <f>DQ5+1</f>
        <v>46175</v>
      </c>
      <c r="DS5" s="99">
        <f t="shared" ref="DS5" si="43">DR5+1</f>
        <v>46176</v>
      </c>
      <c r="DT5" s="99">
        <f t="shared" ref="DT5" si="44">DS5+1</f>
        <v>46177</v>
      </c>
      <c r="DU5" s="99">
        <f t="shared" ref="DU5" si="45">DT5+1</f>
        <v>46178</v>
      </c>
      <c r="DV5" s="99">
        <f t="shared" ref="DV5" si="46">DU5+1</f>
        <v>46179</v>
      </c>
      <c r="DW5" s="99">
        <f t="shared" ref="DW5" si="47">DV5+1</f>
        <v>46180</v>
      </c>
      <c r="DX5" s="98">
        <f>DW5+1</f>
        <v>46181</v>
      </c>
      <c r="DY5" s="99">
        <f>DX5+1</f>
        <v>46182</v>
      </c>
      <c r="DZ5" s="99">
        <f t="shared" ref="DZ5" si="48">DY5+1</f>
        <v>46183</v>
      </c>
      <c r="EA5" s="99">
        <f t="shared" ref="EA5" si="49">DZ5+1</f>
        <v>46184</v>
      </c>
      <c r="EB5" s="99">
        <f t="shared" ref="EB5" si="50">EA5+1</f>
        <v>46185</v>
      </c>
      <c r="EC5" s="99">
        <f t="shared" ref="EC5" si="51">EB5+1</f>
        <v>46186</v>
      </c>
      <c r="ED5" s="99">
        <f t="shared" ref="ED5" si="52">EC5+1</f>
        <v>46187</v>
      </c>
      <c r="EE5" s="98">
        <f>ED5+1</f>
        <v>46188</v>
      </c>
      <c r="EF5" s="99">
        <f>EE5+1</f>
        <v>46189</v>
      </c>
      <c r="EG5" s="99">
        <f t="shared" ref="EG5" si="53">EF5+1</f>
        <v>46190</v>
      </c>
      <c r="EH5" s="99">
        <f t="shared" ref="EH5" si="54">EG5+1</f>
        <v>46191</v>
      </c>
      <c r="EI5" s="99">
        <f t="shared" ref="EI5" si="55">EH5+1</f>
        <v>46192</v>
      </c>
      <c r="EJ5" s="99">
        <f t="shared" ref="EJ5" si="56">EI5+1</f>
        <v>46193</v>
      </c>
      <c r="EK5" s="99">
        <f t="shared" ref="EK5" si="57">EJ5+1</f>
        <v>46194</v>
      </c>
      <c r="EL5" s="98">
        <f>EK5+1</f>
        <v>46195</v>
      </c>
      <c r="EM5" s="99">
        <f>EL5+1</f>
        <v>46196</v>
      </c>
      <c r="EN5" s="99">
        <f t="shared" ref="EN5" si="58">EM5+1</f>
        <v>46197</v>
      </c>
      <c r="EO5" s="99">
        <f t="shared" ref="EO5" si="59">EN5+1</f>
        <v>46198</v>
      </c>
      <c r="EP5" s="99">
        <f t="shared" ref="EP5" si="60">EO5+1</f>
        <v>46199</v>
      </c>
      <c r="EQ5" s="99">
        <f t="shared" ref="EQ5" si="61">EP5+1</f>
        <v>46200</v>
      </c>
      <c r="ER5" s="99">
        <f t="shared" ref="ER5" si="62">EQ5+1</f>
        <v>46201</v>
      </c>
    </row>
    <row r="6" spans="1:148" s="23" customFormat="1" ht="15" customHeight="1" thickBot="1" x14ac:dyDescent="0.2">
      <c r="A6" s="119"/>
      <c r="B6" s="121"/>
      <c r="C6" s="123"/>
      <c r="D6" s="125"/>
      <c r="E6" s="125"/>
      <c r="F6" s="125"/>
      <c r="I6" s="31" t="str">
        <f t="shared" ref="I6:AN6" si="63">LEFT(TEXT(I5,"ddd"),1)</f>
        <v>m</v>
      </c>
      <c r="J6" s="32" t="str">
        <f t="shared" si="63"/>
        <v>t</v>
      </c>
      <c r="K6" s="32" t="str">
        <f t="shared" si="63"/>
        <v>o</v>
      </c>
      <c r="L6" s="32" t="str">
        <f t="shared" si="63"/>
        <v>t</v>
      </c>
      <c r="M6" s="32" t="str">
        <f t="shared" si="63"/>
        <v>f</v>
      </c>
      <c r="N6" s="32" t="str">
        <f t="shared" si="63"/>
        <v>l</v>
      </c>
      <c r="O6" s="32" t="str">
        <f t="shared" si="63"/>
        <v>s</v>
      </c>
      <c r="P6" s="32" t="str">
        <f t="shared" si="63"/>
        <v>m</v>
      </c>
      <c r="Q6" s="32" t="str">
        <f t="shared" si="63"/>
        <v>t</v>
      </c>
      <c r="R6" s="32" t="str">
        <f t="shared" si="63"/>
        <v>o</v>
      </c>
      <c r="S6" s="32" t="str">
        <f t="shared" si="63"/>
        <v>t</v>
      </c>
      <c r="T6" s="32" t="str">
        <f t="shared" si="63"/>
        <v>f</v>
      </c>
      <c r="U6" s="32" t="str">
        <f t="shared" si="63"/>
        <v>l</v>
      </c>
      <c r="V6" s="32" t="str">
        <f t="shared" si="63"/>
        <v>s</v>
      </c>
      <c r="W6" s="32" t="str">
        <f t="shared" si="63"/>
        <v>m</v>
      </c>
      <c r="X6" s="32" t="str">
        <f t="shared" si="63"/>
        <v>t</v>
      </c>
      <c r="Y6" s="32" t="str">
        <f t="shared" si="63"/>
        <v>o</v>
      </c>
      <c r="Z6" s="32" t="str">
        <f t="shared" si="63"/>
        <v>t</v>
      </c>
      <c r="AA6" s="32" t="str">
        <f t="shared" si="63"/>
        <v>f</v>
      </c>
      <c r="AB6" s="32" t="str">
        <f t="shared" si="63"/>
        <v>l</v>
      </c>
      <c r="AC6" s="32" t="str">
        <f t="shared" si="63"/>
        <v>s</v>
      </c>
      <c r="AD6" s="32" t="str">
        <f t="shared" si="63"/>
        <v>m</v>
      </c>
      <c r="AE6" s="32" t="str">
        <f t="shared" si="63"/>
        <v>t</v>
      </c>
      <c r="AF6" s="32" t="str">
        <f t="shared" si="63"/>
        <v>o</v>
      </c>
      <c r="AG6" s="32" t="str">
        <f t="shared" si="63"/>
        <v>t</v>
      </c>
      <c r="AH6" s="32" t="str">
        <f t="shared" si="63"/>
        <v>f</v>
      </c>
      <c r="AI6" s="32" t="str">
        <f t="shared" si="63"/>
        <v>l</v>
      </c>
      <c r="AJ6" s="32" t="str">
        <f t="shared" si="63"/>
        <v>s</v>
      </c>
      <c r="AK6" s="32" t="str">
        <f t="shared" si="63"/>
        <v>m</v>
      </c>
      <c r="AL6" s="32" t="str">
        <f t="shared" si="63"/>
        <v>t</v>
      </c>
      <c r="AM6" s="32" t="str">
        <f t="shared" si="63"/>
        <v>o</v>
      </c>
      <c r="AN6" s="32" t="str">
        <f t="shared" si="63"/>
        <v>t</v>
      </c>
      <c r="AO6" s="32" t="str">
        <f t="shared" ref="AO6:BL6" si="64">LEFT(TEXT(AO5,"ddd"),1)</f>
        <v>f</v>
      </c>
      <c r="AP6" s="32" t="str">
        <f t="shared" si="64"/>
        <v>l</v>
      </c>
      <c r="AQ6" s="32" t="str">
        <f t="shared" si="64"/>
        <v>s</v>
      </c>
      <c r="AR6" s="32" t="str">
        <f t="shared" si="64"/>
        <v>m</v>
      </c>
      <c r="AS6" s="32" t="str">
        <f t="shared" si="64"/>
        <v>t</v>
      </c>
      <c r="AT6" s="32" t="str">
        <f t="shared" si="64"/>
        <v>o</v>
      </c>
      <c r="AU6" s="32" t="str">
        <f t="shared" si="64"/>
        <v>t</v>
      </c>
      <c r="AV6" s="32" t="str">
        <f t="shared" si="64"/>
        <v>f</v>
      </c>
      <c r="AW6" s="32" t="str">
        <f t="shared" si="64"/>
        <v>l</v>
      </c>
      <c r="AX6" s="32" t="str">
        <f t="shared" si="64"/>
        <v>s</v>
      </c>
      <c r="AY6" s="32" t="str">
        <f t="shared" si="64"/>
        <v>m</v>
      </c>
      <c r="AZ6" s="32" t="str">
        <f t="shared" si="64"/>
        <v>t</v>
      </c>
      <c r="BA6" s="32" t="str">
        <f t="shared" si="64"/>
        <v>o</v>
      </c>
      <c r="BB6" s="32" t="str">
        <f t="shared" si="64"/>
        <v>t</v>
      </c>
      <c r="BC6" s="32" t="str">
        <f t="shared" si="64"/>
        <v>f</v>
      </c>
      <c r="BD6" s="32" t="str">
        <f t="shared" si="64"/>
        <v>l</v>
      </c>
      <c r="BE6" s="32" t="str">
        <f t="shared" si="64"/>
        <v>s</v>
      </c>
      <c r="BF6" s="32" t="str">
        <f t="shared" si="64"/>
        <v>m</v>
      </c>
      <c r="BG6" s="32" t="str">
        <f t="shared" si="64"/>
        <v>t</v>
      </c>
      <c r="BH6" s="32" t="str">
        <f t="shared" si="64"/>
        <v>o</v>
      </c>
      <c r="BI6" s="32" t="str">
        <f t="shared" si="64"/>
        <v>t</v>
      </c>
      <c r="BJ6" s="32" t="str">
        <f t="shared" si="64"/>
        <v>f</v>
      </c>
      <c r="BK6" s="32" t="str">
        <f t="shared" si="64"/>
        <v>l</v>
      </c>
      <c r="BL6" s="33" t="str">
        <f t="shared" si="64"/>
        <v>s</v>
      </c>
      <c r="BM6" s="32" t="str">
        <f t="shared" ref="BM6:DX6" si="65">LEFT(TEXT(BM5,"ddd"),1)</f>
        <v>m</v>
      </c>
      <c r="BN6" s="32" t="str">
        <f t="shared" si="65"/>
        <v>t</v>
      </c>
      <c r="BO6" s="32" t="str">
        <f t="shared" si="65"/>
        <v>o</v>
      </c>
      <c r="BP6" s="32" t="str">
        <f t="shared" si="65"/>
        <v>t</v>
      </c>
      <c r="BQ6" s="32" t="str">
        <f t="shared" si="65"/>
        <v>f</v>
      </c>
      <c r="BR6" s="32" t="str">
        <f t="shared" si="65"/>
        <v>l</v>
      </c>
      <c r="BS6" s="33" t="str">
        <f t="shared" si="65"/>
        <v>s</v>
      </c>
      <c r="BT6" s="32" t="str">
        <f t="shared" si="65"/>
        <v>m</v>
      </c>
      <c r="BU6" s="32" t="str">
        <f t="shared" si="65"/>
        <v>t</v>
      </c>
      <c r="BV6" s="32" t="str">
        <f t="shared" si="65"/>
        <v>o</v>
      </c>
      <c r="BW6" s="32" t="str">
        <f t="shared" si="65"/>
        <v>t</v>
      </c>
      <c r="BX6" s="32" t="str">
        <f t="shared" si="65"/>
        <v>f</v>
      </c>
      <c r="BY6" s="32" t="str">
        <f t="shared" si="65"/>
        <v>l</v>
      </c>
      <c r="BZ6" s="33" t="str">
        <f t="shared" si="65"/>
        <v>s</v>
      </c>
      <c r="CA6" s="32" t="str">
        <f t="shared" si="65"/>
        <v>m</v>
      </c>
      <c r="CB6" s="32" t="str">
        <f t="shared" si="65"/>
        <v>t</v>
      </c>
      <c r="CC6" s="32" t="str">
        <f t="shared" si="65"/>
        <v>o</v>
      </c>
      <c r="CD6" s="32" t="str">
        <f t="shared" si="65"/>
        <v>t</v>
      </c>
      <c r="CE6" s="32" t="str">
        <f t="shared" si="65"/>
        <v>f</v>
      </c>
      <c r="CF6" s="32" t="str">
        <f t="shared" si="65"/>
        <v>l</v>
      </c>
      <c r="CG6" s="33" t="str">
        <f t="shared" si="65"/>
        <v>s</v>
      </c>
      <c r="CH6" s="32" t="str">
        <f t="shared" si="65"/>
        <v>m</v>
      </c>
      <c r="CI6" s="32" t="str">
        <f t="shared" si="65"/>
        <v>t</v>
      </c>
      <c r="CJ6" s="32" t="str">
        <f t="shared" si="65"/>
        <v>o</v>
      </c>
      <c r="CK6" s="32" t="str">
        <f t="shared" si="65"/>
        <v>t</v>
      </c>
      <c r="CL6" s="32" t="str">
        <f t="shared" si="65"/>
        <v>f</v>
      </c>
      <c r="CM6" s="32" t="str">
        <f t="shared" si="65"/>
        <v>l</v>
      </c>
      <c r="CN6" s="33" t="str">
        <f t="shared" si="65"/>
        <v>s</v>
      </c>
      <c r="CO6" s="32" t="str">
        <f t="shared" si="65"/>
        <v>m</v>
      </c>
      <c r="CP6" s="32" t="str">
        <f t="shared" si="65"/>
        <v>t</v>
      </c>
      <c r="CQ6" s="32" t="str">
        <f t="shared" si="65"/>
        <v>o</v>
      </c>
      <c r="CR6" s="32" t="str">
        <f t="shared" si="65"/>
        <v>t</v>
      </c>
      <c r="CS6" s="32" t="str">
        <f t="shared" si="65"/>
        <v>f</v>
      </c>
      <c r="CT6" s="32" t="str">
        <f t="shared" si="65"/>
        <v>l</v>
      </c>
      <c r="CU6" s="33" t="str">
        <f t="shared" si="65"/>
        <v>s</v>
      </c>
      <c r="CV6" s="32" t="str">
        <f t="shared" si="65"/>
        <v>m</v>
      </c>
      <c r="CW6" s="32" t="str">
        <f t="shared" si="65"/>
        <v>t</v>
      </c>
      <c r="CX6" s="32" t="str">
        <f t="shared" si="65"/>
        <v>o</v>
      </c>
      <c r="CY6" s="32" t="str">
        <f t="shared" si="65"/>
        <v>t</v>
      </c>
      <c r="CZ6" s="32" t="str">
        <f t="shared" si="65"/>
        <v>f</v>
      </c>
      <c r="DA6" s="32" t="str">
        <f t="shared" si="65"/>
        <v>l</v>
      </c>
      <c r="DB6" s="33" t="str">
        <f t="shared" si="65"/>
        <v>s</v>
      </c>
      <c r="DC6" s="32" t="str">
        <f t="shared" si="65"/>
        <v>m</v>
      </c>
      <c r="DD6" s="32" t="str">
        <f t="shared" si="65"/>
        <v>t</v>
      </c>
      <c r="DE6" s="32" t="str">
        <f t="shared" si="65"/>
        <v>o</v>
      </c>
      <c r="DF6" s="32" t="str">
        <f t="shared" si="65"/>
        <v>t</v>
      </c>
      <c r="DG6" s="32" t="str">
        <f t="shared" si="65"/>
        <v>f</v>
      </c>
      <c r="DH6" s="32" t="str">
        <f t="shared" si="65"/>
        <v>l</v>
      </c>
      <c r="DI6" s="33" t="str">
        <f t="shared" si="65"/>
        <v>s</v>
      </c>
      <c r="DJ6" s="32" t="str">
        <f t="shared" si="65"/>
        <v>m</v>
      </c>
      <c r="DK6" s="32" t="str">
        <f t="shared" si="65"/>
        <v>t</v>
      </c>
      <c r="DL6" s="32" t="str">
        <f t="shared" si="65"/>
        <v>o</v>
      </c>
      <c r="DM6" s="32" t="str">
        <f t="shared" si="65"/>
        <v>t</v>
      </c>
      <c r="DN6" s="32" t="str">
        <f t="shared" si="65"/>
        <v>f</v>
      </c>
      <c r="DO6" s="32" t="str">
        <f t="shared" si="65"/>
        <v>l</v>
      </c>
      <c r="DP6" s="33" t="str">
        <f t="shared" si="65"/>
        <v>s</v>
      </c>
      <c r="DQ6" s="32" t="str">
        <f t="shared" si="65"/>
        <v>m</v>
      </c>
      <c r="DR6" s="32" t="str">
        <f t="shared" si="65"/>
        <v>t</v>
      </c>
      <c r="DS6" s="32" t="str">
        <f t="shared" si="65"/>
        <v>o</v>
      </c>
      <c r="DT6" s="32" t="str">
        <f t="shared" si="65"/>
        <v>t</v>
      </c>
      <c r="DU6" s="32" t="str">
        <f t="shared" si="65"/>
        <v>f</v>
      </c>
      <c r="DV6" s="32" t="str">
        <f t="shared" si="65"/>
        <v>l</v>
      </c>
      <c r="DW6" s="33" t="str">
        <f t="shared" si="65"/>
        <v>s</v>
      </c>
      <c r="DX6" s="32" t="str">
        <f t="shared" si="65"/>
        <v>m</v>
      </c>
      <c r="DY6" s="32" t="str">
        <f t="shared" ref="DY6:ER6" si="66">LEFT(TEXT(DY5,"ddd"),1)</f>
        <v>t</v>
      </c>
      <c r="DZ6" s="32" t="str">
        <f t="shared" si="66"/>
        <v>o</v>
      </c>
      <c r="EA6" s="32" t="str">
        <f t="shared" si="66"/>
        <v>t</v>
      </c>
      <c r="EB6" s="32" t="str">
        <f t="shared" si="66"/>
        <v>f</v>
      </c>
      <c r="EC6" s="32" t="str">
        <f t="shared" si="66"/>
        <v>l</v>
      </c>
      <c r="ED6" s="33" t="str">
        <f t="shared" si="66"/>
        <v>s</v>
      </c>
      <c r="EE6" s="32" t="str">
        <f t="shared" si="66"/>
        <v>m</v>
      </c>
      <c r="EF6" s="32" t="str">
        <f t="shared" si="66"/>
        <v>t</v>
      </c>
      <c r="EG6" s="32" t="str">
        <f t="shared" si="66"/>
        <v>o</v>
      </c>
      <c r="EH6" s="32" t="str">
        <f t="shared" si="66"/>
        <v>t</v>
      </c>
      <c r="EI6" s="32" t="str">
        <f t="shared" si="66"/>
        <v>f</v>
      </c>
      <c r="EJ6" s="32" t="str">
        <f t="shared" si="66"/>
        <v>l</v>
      </c>
      <c r="EK6" s="33" t="str">
        <f t="shared" si="66"/>
        <v>s</v>
      </c>
      <c r="EL6" s="32" t="str">
        <f t="shared" si="66"/>
        <v>m</v>
      </c>
      <c r="EM6" s="32" t="str">
        <f t="shared" si="66"/>
        <v>t</v>
      </c>
      <c r="EN6" s="32" t="str">
        <f t="shared" si="66"/>
        <v>o</v>
      </c>
      <c r="EO6" s="32" t="str">
        <f t="shared" si="66"/>
        <v>t</v>
      </c>
      <c r="EP6" s="32" t="str">
        <f t="shared" si="66"/>
        <v>f</v>
      </c>
      <c r="EQ6" s="32" t="str">
        <f t="shared" si="66"/>
        <v>l</v>
      </c>
      <c r="ER6" s="33" t="str">
        <f t="shared" si="66"/>
        <v>s</v>
      </c>
    </row>
    <row r="7" spans="1:148" s="23" customFormat="1" ht="30" hidden="1" customHeight="1" thickBot="1" x14ac:dyDescent="0.2">
      <c r="A7" s="12" t="s">
        <v>8</v>
      </c>
      <c r="B7" s="34"/>
      <c r="C7" s="35"/>
      <c r="D7" s="34"/>
      <c r="E7" s="34"/>
      <c r="F7" s="34"/>
      <c r="H7" s="23" t="str">
        <f>IF(OR(ISBLANK(task_start),ISBLANK(task_end)),"",task_end-task_start+1)</f>
        <v/>
      </c>
      <c r="I7" s="36"/>
      <c r="J7" s="36"/>
      <c r="K7" s="36"/>
      <c r="L7" s="36"/>
      <c r="M7" s="36"/>
      <c r="N7" s="36"/>
      <c r="O7" s="36"/>
      <c r="P7" s="36"/>
      <c r="Q7" s="36"/>
      <c r="R7" s="36"/>
      <c r="S7" s="36"/>
      <c r="T7" s="36"/>
      <c r="U7" s="36"/>
      <c r="V7" s="36"/>
      <c r="W7" s="36"/>
      <c r="X7" s="36"/>
      <c r="Y7" s="36"/>
      <c r="Z7" s="36"/>
      <c r="AA7" s="36"/>
      <c r="AB7" s="36"/>
      <c r="AC7" s="36"/>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c r="BU7" s="36"/>
      <c r="BV7" s="36"/>
      <c r="BW7" s="36"/>
      <c r="BX7" s="36"/>
      <c r="BY7" s="36"/>
      <c r="BZ7" s="36"/>
      <c r="CA7" s="36"/>
      <c r="CB7" s="36"/>
      <c r="CC7" s="36"/>
      <c r="CD7" s="36"/>
      <c r="CE7" s="36"/>
      <c r="CF7" s="36"/>
      <c r="CG7" s="36"/>
      <c r="CH7" s="36"/>
      <c r="CI7" s="36"/>
      <c r="CJ7" s="36"/>
      <c r="CK7" s="36"/>
      <c r="CL7" s="36"/>
      <c r="CM7" s="36"/>
      <c r="CN7" s="36"/>
      <c r="CO7" s="36"/>
      <c r="CP7" s="36"/>
      <c r="CQ7" s="36"/>
      <c r="CR7" s="36"/>
      <c r="CS7" s="36"/>
      <c r="CT7" s="36"/>
      <c r="CU7" s="36"/>
      <c r="CV7" s="36"/>
      <c r="CW7" s="36"/>
      <c r="CX7" s="36"/>
      <c r="CY7" s="36"/>
      <c r="CZ7" s="36"/>
      <c r="DA7" s="36"/>
      <c r="DB7" s="36"/>
      <c r="DC7" s="36"/>
      <c r="DD7" s="36"/>
      <c r="DE7" s="36"/>
      <c r="DF7" s="36"/>
      <c r="DG7" s="36"/>
      <c r="DH7" s="36"/>
      <c r="DI7" s="36"/>
      <c r="DJ7" s="36"/>
      <c r="DK7" s="36"/>
      <c r="DL7" s="36"/>
      <c r="DM7" s="36"/>
      <c r="DN7" s="36"/>
      <c r="DO7" s="36"/>
      <c r="DP7" s="36"/>
      <c r="DQ7" s="36"/>
      <c r="DR7" s="36"/>
      <c r="DS7" s="36"/>
      <c r="DT7" s="36"/>
      <c r="DU7" s="36"/>
      <c r="DV7" s="36"/>
      <c r="DW7" s="36"/>
      <c r="DX7" s="36"/>
      <c r="DY7" s="36"/>
      <c r="DZ7" s="36"/>
      <c r="EA7" s="36"/>
      <c r="EB7" s="36"/>
      <c r="EC7" s="36"/>
      <c r="ED7" s="36"/>
      <c r="EE7" s="36"/>
      <c r="EF7" s="36"/>
      <c r="EG7" s="36"/>
      <c r="EH7" s="36"/>
      <c r="EI7" s="36"/>
      <c r="EJ7" s="36"/>
      <c r="EK7" s="36"/>
      <c r="EL7" s="36"/>
      <c r="EM7" s="36"/>
      <c r="EN7" s="36"/>
      <c r="EO7" s="36"/>
      <c r="EP7" s="36"/>
      <c r="EQ7" s="36"/>
      <c r="ER7" s="36"/>
    </row>
    <row r="8" spans="1:148" s="42" customFormat="1" ht="30" customHeight="1" thickBot="1" x14ac:dyDescent="0.2">
      <c r="A8" s="78"/>
      <c r="B8" s="37" t="s">
        <v>23</v>
      </c>
      <c r="C8" s="38"/>
      <c r="D8" s="39"/>
      <c r="E8" s="40"/>
      <c r="F8" s="41"/>
      <c r="G8" s="15"/>
      <c r="H8" s="5" t="str">
        <f t="shared" ref="H8:H30" si="67">IF(OR(ISBLANK(task_start),ISBLANK(task_end)),"",task_end-task_start+1)</f>
        <v/>
      </c>
      <c r="I8" s="97"/>
      <c r="J8" s="97"/>
      <c r="K8" s="97"/>
      <c r="L8" s="97"/>
      <c r="M8" s="97"/>
      <c r="N8" s="97"/>
      <c r="O8" s="97"/>
      <c r="P8" s="97"/>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c r="CU8" s="97"/>
      <c r="CV8" s="97"/>
      <c r="CW8" s="97"/>
      <c r="CX8" s="97"/>
      <c r="CY8" s="97"/>
      <c r="CZ8" s="97"/>
      <c r="DA8" s="97"/>
      <c r="DB8" s="97"/>
      <c r="DC8" s="97"/>
      <c r="DD8" s="97"/>
      <c r="DE8" s="97"/>
      <c r="DF8" s="97"/>
      <c r="DG8" s="97"/>
      <c r="DH8" s="97"/>
      <c r="DI8" s="97"/>
      <c r="DJ8" s="97"/>
      <c r="DK8" s="97"/>
      <c r="DL8" s="97"/>
      <c r="DM8" s="97"/>
      <c r="DN8" s="97"/>
      <c r="DO8" s="97"/>
      <c r="DP8" s="97"/>
      <c r="DQ8" s="97"/>
      <c r="DR8" s="97"/>
      <c r="DS8" s="97"/>
      <c r="DT8" s="97"/>
      <c r="DU8" s="97"/>
      <c r="DV8" s="97"/>
      <c r="DW8" s="97"/>
      <c r="DX8" s="97"/>
      <c r="DY8" s="97"/>
      <c r="DZ8" s="97"/>
      <c r="EA8" s="97"/>
      <c r="EB8" s="97"/>
      <c r="EC8" s="97"/>
      <c r="ED8" s="97"/>
      <c r="EE8" s="97"/>
      <c r="EF8" s="97"/>
      <c r="EG8" s="97"/>
      <c r="EH8" s="97"/>
      <c r="EI8" s="97"/>
      <c r="EJ8" s="97"/>
      <c r="EK8" s="97"/>
      <c r="EL8" s="97"/>
      <c r="EM8" s="97"/>
      <c r="EN8" s="97"/>
      <c r="EO8" s="97"/>
      <c r="EP8" s="97"/>
      <c r="EQ8" s="97"/>
      <c r="ER8" s="97"/>
    </row>
    <row r="9" spans="1:148" s="42" customFormat="1" ht="30" customHeight="1" thickBot="1" x14ac:dyDescent="0.2">
      <c r="A9" s="78"/>
      <c r="B9" s="43" t="s">
        <v>28</v>
      </c>
      <c r="C9" s="44" t="s">
        <v>26</v>
      </c>
      <c r="D9" s="45"/>
      <c r="E9" s="79">
        <f>Project_Start</f>
        <v>46064</v>
      </c>
      <c r="F9" s="79">
        <v>46078</v>
      </c>
      <c r="G9" s="15"/>
      <c r="H9" s="5">
        <f t="shared" si="67"/>
        <v>15</v>
      </c>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c r="AH9" s="134"/>
      <c r="AI9" s="134"/>
      <c r="AJ9" s="134"/>
      <c r="AK9" s="134"/>
      <c r="AL9" s="134"/>
      <c r="AM9" s="134"/>
      <c r="AN9" s="134"/>
      <c r="AO9" s="134"/>
      <c r="AP9" s="134"/>
      <c r="AQ9" s="134"/>
      <c r="AR9" s="134"/>
      <c r="AS9" s="134"/>
      <c r="AT9" s="134"/>
      <c r="AU9" s="134"/>
      <c r="AV9" s="134"/>
      <c r="AW9" s="134"/>
      <c r="AX9" s="134"/>
      <c r="AY9" s="134"/>
      <c r="AZ9" s="134"/>
      <c r="BA9" s="134"/>
      <c r="BB9" s="134"/>
      <c r="BC9" s="134"/>
      <c r="BD9" s="134"/>
      <c r="BE9" s="134"/>
      <c r="BF9" s="134"/>
      <c r="BG9" s="134"/>
      <c r="BH9" s="134"/>
      <c r="BI9" s="134"/>
      <c r="BJ9" s="134"/>
      <c r="BK9" s="134"/>
      <c r="BL9" s="134"/>
      <c r="BM9" s="134"/>
      <c r="BN9" s="134"/>
      <c r="BO9" s="134"/>
      <c r="BP9" s="134"/>
      <c r="BQ9" s="134"/>
      <c r="BR9" s="134"/>
      <c r="BS9" s="134"/>
      <c r="BT9" s="134"/>
      <c r="BU9" s="134"/>
      <c r="BV9" s="134"/>
      <c r="BW9" s="134"/>
      <c r="BX9" s="134"/>
      <c r="BY9" s="134"/>
      <c r="BZ9" s="134"/>
      <c r="CA9" s="134"/>
      <c r="CB9" s="134"/>
      <c r="CC9" s="134"/>
      <c r="CD9" s="134"/>
      <c r="CE9" s="134"/>
      <c r="CF9" s="134"/>
      <c r="CG9" s="134"/>
      <c r="CH9" s="134"/>
      <c r="CI9" s="134"/>
      <c r="CJ9" s="134"/>
      <c r="CK9" s="134"/>
      <c r="CL9" s="134"/>
      <c r="CM9" s="134"/>
      <c r="CN9" s="134"/>
      <c r="CO9" s="134"/>
      <c r="CP9" s="134"/>
      <c r="CQ9" s="134"/>
      <c r="CR9" s="134"/>
      <c r="CS9" s="134"/>
      <c r="CT9" s="134"/>
      <c r="CU9" s="134"/>
      <c r="CV9" s="134"/>
      <c r="CW9" s="134"/>
      <c r="CX9" s="134"/>
      <c r="CY9" s="134"/>
      <c r="CZ9" s="134"/>
      <c r="DA9" s="134"/>
      <c r="DB9" s="134"/>
      <c r="DC9" s="134"/>
      <c r="DD9" s="134"/>
      <c r="DE9" s="134"/>
      <c r="DF9" s="134"/>
      <c r="DG9" s="134"/>
      <c r="DH9" s="134"/>
      <c r="DI9" s="134"/>
      <c r="DJ9" s="134"/>
      <c r="DK9" s="134"/>
      <c r="DL9" s="134"/>
      <c r="DM9" s="134"/>
      <c r="DN9" s="134"/>
      <c r="DO9" s="134"/>
      <c r="DP9" s="134"/>
      <c r="DQ9" s="134"/>
      <c r="DR9" s="134"/>
      <c r="DS9" s="134"/>
      <c r="DT9" s="134"/>
      <c r="DU9" s="134"/>
      <c r="DV9" s="134"/>
      <c r="DW9" s="134"/>
      <c r="DX9" s="134"/>
      <c r="DY9" s="134"/>
      <c r="DZ9" s="134"/>
      <c r="EA9" s="134"/>
      <c r="EB9" s="134"/>
      <c r="EC9" s="134"/>
      <c r="ED9" s="134"/>
      <c r="EE9" s="134"/>
      <c r="EF9" s="134"/>
      <c r="EG9" s="134"/>
      <c r="EH9" s="134"/>
      <c r="EI9" s="134"/>
      <c r="EJ9" s="134"/>
      <c r="EK9" s="134"/>
      <c r="EL9" s="134"/>
      <c r="EM9" s="134"/>
      <c r="EN9" s="134"/>
      <c r="EO9" s="134"/>
      <c r="EP9" s="134"/>
      <c r="EQ9" s="134"/>
      <c r="ER9" s="134"/>
    </row>
    <row r="10" spans="1:148" s="42" customFormat="1" ht="30" customHeight="1" thickBot="1" x14ac:dyDescent="0.2">
      <c r="A10" s="78"/>
      <c r="B10" s="43" t="s">
        <v>27</v>
      </c>
      <c r="C10" s="44" t="s">
        <v>26</v>
      </c>
      <c r="D10" s="45"/>
      <c r="E10" s="79">
        <f>Project_Start</f>
        <v>46064</v>
      </c>
      <c r="F10" s="79">
        <f>E10+7</f>
        <v>46071</v>
      </c>
      <c r="G10" s="15"/>
      <c r="H10" s="5">
        <f>IF(OR(ISBLANK($E10),ISBLANK($F10)),"",$F10-$E10+1)</f>
        <v>8</v>
      </c>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4"/>
      <c r="AH10" s="134"/>
      <c r="AI10" s="134"/>
      <c r="AJ10" s="134"/>
      <c r="AK10" s="134"/>
      <c r="AL10" s="134"/>
      <c r="AM10" s="134"/>
      <c r="AN10" s="134"/>
      <c r="AO10" s="134"/>
      <c r="AP10" s="134"/>
      <c r="AQ10" s="134"/>
      <c r="AR10" s="134"/>
      <c r="AS10" s="134"/>
      <c r="AT10" s="134"/>
      <c r="AU10" s="134"/>
      <c r="AV10" s="134"/>
      <c r="AW10" s="134"/>
      <c r="AX10" s="134"/>
      <c r="AY10" s="134"/>
      <c r="AZ10" s="134"/>
      <c r="BA10" s="134"/>
      <c r="BB10" s="134"/>
      <c r="BC10" s="134"/>
      <c r="BD10" s="134"/>
      <c r="BE10" s="134"/>
      <c r="BF10" s="134"/>
      <c r="BG10" s="134"/>
      <c r="BH10" s="134"/>
      <c r="BI10" s="134"/>
      <c r="BJ10" s="134"/>
      <c r="BK10" s="134"/>
      <c r="BL10" s="134"/>
      <c r="BM10" s="134"/>
      <c r="BN10" s="134"/>
      <c r="BO10" s="134"/>
      <c r="BP10" s="134"/>
      <c r="BQ10" s="134"/>
      <c r="BR10" s="134"/>
      <c r="BS10" s="134"/>
      <c r="BT10" s="134"/>
      <c r="BU10" s="134"/>
      <c r="BV10" s="134"/>
      <c r="BW10" s="134"/>
      <c r="BX10" s="134"/>
      <c r="BY10" s="134"/>
      <c r="BZ10" s="134"/>
      <c r="CA10" s="134"/>
      <c r="CB10" s="134"/>
      <c r="CC10" s="134"/>
      <c r="CD10" s="134"/>
      <c r="CE10" s="134"/>
      <c r="CF10" s="134"/>
      <c r="CG10" s="134"/>
      <c r="CH10" s="134"/>
      <c r="CI10" s="134"/>
      <c r="CJ10" s="134"/>
      <c r="CK10" s="134"/>
      <c r="CL10" s="134"/>
      <c r="CM10" s="134"/>
      <c r="CN10" s="134"/>
      <c r="CO10" s="134"/>
      <c r="CP10" s="134"/>
      <c r="CQ10" s="134"/>
      <c r="CR10" s="134"/>
      <c r="CS10" s="134"/>
      <c r="CT10" s="134"/>
      <c r="CU10" s="134"/>
      <c r="CV10" s="134"/>
      <c r="CW10" s="134"/>
      <c r="CX10" s="134"/>
      <c r="CY10" s="134"/>
      <c r="CZ10" s="134"/>
      <c r="DA10" s="134"/>
      <c r="DB10" s="134"/>
      <c r="DC10" s="134"/>
      <c r="DD10" s="134"/>
      <c r="DE10" s="134"/>
      <c r="DF10" s="134"/>
      <c r="DG10" s="134"/>
      <c r="DH10" s="134"/>
      <c r="DI10" s="134"/>
      <c r="DJ10" s="134"/>
      <c r="DK10" s="134"/>
      <c r="DL10" s="134"/>
      <c r="DM10" s="134"/>
      <c r="DN10" s="134"/>
      <c r="DO10" s="134"/>
      <c r="DP10" s="134"/>
      <c r="DQ10" s="134"/>
      <c r="DR10" s="134"/>
      <c r="DS10" s="134"/>
      <c r="DT10" s="134"/>
      <c r="DU10" s="134"/>
      <c r="DV10" s="134"/>
      <c r="DW10" s="134"/>
      <c r="DX10" s="134"/>
      <c r="DY10" s="134"/>
      <c r="DZ10" s="134"/>
      <c r="EA10" s="134"/>
      <c r="EB10" s="134"/>
      <c r="EC10" s="134"/>
      <c r="ED10" s="134"/>
      <c r="EE10" s="134"/>
      <c r="EF10" s="134"/>
      <c r="EG10" s="134"/>
      <c r="EH10" s="134"/>
      <c r="EI10" s="134"/>
      <c r="EJ10" s="134"/>
      <c r="EK10" s="134"/>
      <c r="EL10" s="134"/>
      <c r="EM10" s="134"/>
      <c r="EN10" s="134"/>
      <c r="EO10" s="134"/>
      <c r="EP10" s="134"/>
      <c r="EQ10" s="134"/>
      <c r="ER10" s="134"/>
    </row>
    <row r="11" spans="1:148" s="42" customFormat="1" ht="30" customHeight="1" thickBot="1" x14ac:dyDescent="0.2">
      <c r="A11" s="78"/>
      <c r="B11" s="100" t="s">
        <v>29</v>
      </c>
      <c r="C11" s="103" t="s">
        <v>26</v>
      </c>
      <c r="D11" s="106"/>
      <c r="E11" s="109">
        <f>F10+1</f>
        <v>46072</v>
      </c>
      <c r="F11" s="109">
        <v>46078</v>
      </c>
      <c r="G11" s="15"/>
      <c r="H11" s="112">
        <f t="shared" si="67"/>
        <v>7</v>
      </c>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4"/>
      <c r="AH11" s="134"/>
      <c r="AI11" s="134"/>
      <c r="AJ11" s="134"/>
      <c r="AK11" s="134"/>
      <c r="AL11" s="134"/>
      <c r="AM11" s="134"/>
      <c r="AN11" s="134"/>
      <c r="AO11" s="134"/>
      <c r="AP11" s="134"/>
      <c r="AQ11" s="134"/>
      <c r="AR11" s="134"/>
      <c r="AS11" s="134"/>
      <c r="AT11" s="134"/>
      <c r="AU11" s="134"/>
      <c r="AV11" s="134"/>
      <c r="AW11" s="134"/>
      <c r="AX11" s="134"/>
      <c r="AY11" s="134"/>
      <c r="AZ11" s="134"/>
      <c r="BA11" s="134"/>
      <c r="BB11" s="134"/>
      <c r="BC11" s="134"/>
      <c r="BD11" s="134"/>
      <c r="BE11" s="134"/>
      <c r="BF11" s="134"/>
      <c r="BG11" s="134"/>
      <c r="BH11" s="134"/>
      <c r="BI11" s="134"/>
      <c r="BJ11" s="134"/>
      <c r="BK11" s="134"/>
      <c r="BL11" s="134"/>
      <c r="BM11" s="134"/>
      <c r="BN11" s="134"/>
      <c r="BO11" s="134"/>
      <c r="BP11" s="134"/>
      <c r="BQ11" s="134"/>
      <c r="BR11" s="134"/>
      <c r="BS11" s="134"/>
      <c r="BT11" s="134"/>
      <c r="BU11" s="134"/>
      <c r="BV11" s="134"/>
      <c r="BW11" s="134"/>
      <c r="BX11" s="134"/>
      <c r="BY11" s="134"/>
      <c r="BZ11" s="134"/>
      <c r="CA11" s="134"/>
      <c r="CB11" s="134"/>
      <c r="CC11" s="134"/>
      <c r="CD11" s="134"/>
      <c r="CE11" s="134"/>
      <c r="CF11" s="134"/>
      <c r="CG11" s="134"/>
      <c r="CH11" s="134"/>
      <c r="CI11" s="134"/>
      <c r="CJ11" s="134"/>
      <c r="CK11" s="134"/>
      <c r="CL11" s="134"/>
      <c r="CM11" s="134"/>
      <c r="CN11" s="134"/>
      <c r="CO11" s="134"/>
      <c r="CP11" s="134"/>
      <c r="CQ11" s="134"/>
      <c r="CR11" s="134"/>
      <c r="CS11" s="134"/>
      <c r="CT11" s="134"/>
      <c r="CU11" s="134"/>
      <c r="CV11" s="134"/>
      <c r="CW11" s="134"/>
      <c r="CX11" s="134"/>
      <c r="CY11" s="134"/>
      <c r="CZ11" s="134"/>
      <c r="DA11" s="134"/>
      <c r="DB11" s="134"/>
      <c r="DC11" s="134"/>
      <c r="DD11" s="134"/>
      <c r="DE11" s="134"/>
      <c r="DF11" s="134"/>
      <c r="DG11" s="134"/>
      <c r="DH11" s="134"/>
      <c r="DI11" s="134"/>
      <c r="DJ11" s="134"/>
      <c r="DK11" s="134"/>
      <c r="DL11" s="134"/>
      <c r="DM11" s="134"/>
      <c r="DN11" s="134"/>
      <c r="DO11" s="134"/>
      <c r="DP11" s="134"/>
      <c r="DQ11" s="134"/>
      <c r="DR11" s="134"/>
      <c r="DS11" s="134"/>
      <c r="DT11" s="134"/>
      <c r="DU11" s="134"/>
      <c r="DV11" s="134"/>
      <c r="DW11" s="134"/>
      <c r="DX11" s="134"/>
      <c r="DY11" s="134"/>
      <c r="DZ11" s="134"/>
      <c r="EA11" s="134"/>
      <c r="EB11" s="134"/>
      <c r="EC11" s="134"/>
      <c r="ED11" s="134"/>
      <c r="EE11" s="134"/>
      <c r="EF11" s="134"/>
      <c r="EG11" s="134"/>
      <c r="EH11" s="134"/>
      <c r="EI11" s="134"/>
      <c r="EJ11" s="134"/>
      <c r="EK11" s="134"/>
      <c r="EL11" s="134"/>
      <c r="EM11" s="134"/>
      <c r="EN11" s="134"/>
      <c r="EO11" s="134"/>
      <c r="EP11" s="134"/>
      <c r="EQ11" s="134"/>
      <c r="ER11" s="134"/>
    </row>
    <row r="12" spans="1:148" s="42" customFormat="1" ht="30" customHeight="1" thickBot="1" x14ac:dyDescent="0.2">
      <c r="A12" s="78"/>
      <c r="B12" s="101" t="s">
        <v>41</v>
      </c>
      <c r="C12" s="104" t="s">
        <v>26</v>
      </c>
      <c r="D12" s="107"/>
      <c r="E12" s="110">
        <f>F11+1</f>
        <v>46079</v>
      </c>
      <c r="F12" s="110">
        <f>E12+6</f>
        <v>46085</v>
      </c>
      <c r="G12" s="15"/>
      <c r="H12" s="115">
        <f>IF(OR(ISBLANK($E12),ISBLANK($F12)),"",$F12-$E12+1)</f>
        <v>7</v>
      </c>
      <c r="I12" s="134"/>
      <c r="J12" s="134"/>
      <c r="K12" s="134"/>
      <c r="L12" s="134"/>
      <c r="M12" s="134"/>
      <c r="N12" s="134"/>
      <c r="O12" s="134"/>
      <c r="P12" s="134"/>
      <c r="Q12" s="134"/>
      <c r="R12" s="134"/>
      <c r="S12" s="134"/>
      <c r="T12" s="134"/>
      <c r="U12" s="134"/>
      <c r="V12" s="134"/>
      <c r="W12" s="134"/>
      <c r="X12" s="134"/>
      <c r="Y12" s="134"/>
      <c r="Z12" s="134"/>
      <c r="AA12" s="134"/>
      <c r="AB12" s="134"/>
      <c r="AC12" s="134"/>
      <c r="AD12" s="134"/>
      <c r="AE12" s="134"/>
      <c r="AF12" s="134"/>
      <c r="AG12" s="134"/>
      <c r="AH12" s="134"/>
      <c r="AI12" s="134"/>
      <c r="AJ12" s="134"/>
      <c r="AK12" s="134"/>
      <c r="AL12" s="134"/>
      <c r="AM12" s="134"/>
      <c r="AN12" s="134"/>
      <c r="AO12" s="134"/>
      <c r="AP12" s="134"/>
      <c r="AQ12" s="134"/>
      <c r="AR12" s="134"/>
      <c r="AS12" s="134"/>
      <c r="AT12" s="134"/>
      <c r="AU12" s="134"/>
      <c r="AV12" s="134"/>
      <c r="AW12" s="134"/>
      <c r="AX12" s="134"/>
      <c r="AY12" s="134"/>
      <c r="AZ12" s="134"/>
      <c r="BA12" s="134"/>
      <c r="BB12" s="134"/>
      <c r="BC12" s="134"/>
      <c r="BD12" s="134"/>
      <c r="BE12" s="134"/>
      <c r="BF12" s="134"/>
      <c r="BG12" s="134"/>
      <c r="BH12" s="134"/>
      <c r="BI12" s="134"/>
      <c r="BJ12" s="134"/>
      <c r="BK12" s="134"/>
      <c r="BL12" s="134"/>
      <c r="BM12" s="134"/>
      <c r="BN12" s="134"/>
      <c r="BO12" s="134"/>
      <c r="BP12" s="134"/>
      <c r="BQ12" s="134"/>
      <c r="BR12" s="134"/>
      <c r="BS12" s="134"/>
      <c r="BT12" s="134"/>
      <c r="BU12" s="134"/>
      <c r="BV12" s="134"/>
      <c r="BW12" s="134"/>
      <c r="BX12" s="134"/>
      <c r="BY12" s="134"/>
      <c r="BZ12" s="134"/>
      <c r="CA12" s="134"/>
      <c r="CB12" s="134"/>
      <c r="CC12" s="134"/>
      <c r="CD12" s="134"/>
      <c r="CE12" s="134"/>
      <c r="CF12" s="134"/>
      <c r="CG12" s="134"/>
      <c r="CH12" s="134"/>
      <c r="CI12" s="134"/>
      <c r="CJ12" s="134"/>
      <c r="CK12" s="134"/>
      <c r="CL12" s="134"/>
      <c r="CM12" s="134"/>
      <c r="CN12" s="134"/>
      <c r="CO12" s="134"/>
      <c r="CP12" s="134"/>
      <c r="CQ12" s="134"/>
      <c r="CR12" s="134"/>
      <c r="CS12" s="134"/>
      <c r="CT12" s="134"/>
      <c r="CU12" s="134"/>
      <c r="CV12" s="134"/>
      <c r="CW12" s="134"/>
      <c r="CX12" s="134"/>
      <c r="CY12" s="134"/>
      <c r="CZ12" s="134"/>
      <c r="DA12" s="134"/>
      <c r="DB12" s="134"/>
      <c r="DC12" s="134"/>
      <c r="DD12" s="134"/>
      <c r="DE12" s="134"/>
      <c r="DF12" s="134"/>
      <c r="DG12" s="134"/>
      <c r="DH12" s="134"/>
      <c r="DI12" s="134"/>
      <c r="DJ12" s="134"/>
      <c r="DK12" s="134"/>
      <c r="DL12" s="134"/>
      <c r="DM12" s="134"/>
      <c r="DN12" s="134"/>
      <c r="DO12" s="134"/>
      <c r="DP12" s="134"/>
      <c r="DQ12" s="134"/>
      <c r="DR12" s="134"/>
      <c r="DS12" s="134"/>
      <c r="DT12" s="134"/>
      <c r="DU12" s="134"/>
      <c r="DV12" s="134"/>
      <c r="DW12" s="134"/>
      <c r="DX12" s="134"/>
      <c r="DY12" s="134"/>
      <c r="DZ12" s="134"/>
      <c r="EA12" s="134"/>
      <c r="EB12" s="134"/>
      <c r="EC12" s="134"/>
      <c r="ED12" s="134"/>
      <c r="EE12" s="134"/>
      <c r="EF12" s="134"/>
      <c r="EG12" s="134"/>
      <c r="EH12" s="134"/>
      <c r="EI12" s="134"/>
      <c r="EJ12" s="134"/>
      <c r="EK12" s="134"/>
      <c r="EL12" s="134"/>
      <c r="EM12" s="134"/>
      <c r="EN12" s="134"/>
      <c r="EO12" s="134"/>
      <c r="EP12" s="134"/>
      <c r="EQ12" s="134"/>
      <c r="ER12" s="134"/>
    </row>
    <row r="13" spans="1:148" s="42" customFormat="1" ht="30" customHeight="1" thickBot="1" x14ac:dyDescent="0.2">
      <c r="A13" s="78"/>
      <c r="B13" s="102" t="s">
        <v>42</v>
      </c>
      <c r="C13" s="105" t="s">
        <v>26</v>
      </c>
      <c r="D13" s="108"/>
      <c r="E13" s="111">
        <f>F11+1</f>
        <v>46079</v>
      </c>
      <c r="F13" s="111">
        <f>E13+6</f>
        <v>46085</v>
      </c>
      <c r="G13" s="15"/>
      <c r="H13" s="114">
        <f>IF(OR(ISBLANK($E13),ISBLANK($F13)),"",$F13-$E13+1)</f>
        <v>7</v>
      </c>
      <c r="I13" s="134"/>
      <c r="J13" s="134"/>
      <c r="K13" s="134"/>
      <c r="L13" s="134"/>
      <c r="M13" s="134"/>
      <c r="N13" s="134"/>
      <c r="O13" s="134"/>
      <c r="P13" s="134"/>
      <c r="Q13" s="134"/>
      <c r="R13" s="134"/>
      <c r="S13" s="134"/>
      <c r="T13" s="134"/>
      <c r="U13" s="134"/>
      <c r="V13" s="134"/>
      <c r="W13" s="134"/>
      <c r="X13" s="134"/>
      <c r="Y13" s="134"/>
      <c r="Z13" s="134"/>
      <c r="AA13" s="134"/>
      <c r="AB13" s="134"/>
      <c r="AC13" s="134"/>
      <c r="AD13" s="134"/>
      <c r="AE13" s="134"/>
      <c r="AF13" s="134"/>
      <c r="AG13" s="134"/>
      <c r="AH13" s="134"/>
      <c r="AI13" s="134"/>
      <c r="AJ13" s="134"/>
      <c r="AK13" s="134"/>
      <c r="AL13" s="134"/>
      <c r="AM13" s="134"/>
      <c r="AN13" s="134"/>
      <c r="AO13" s="134"/>
      <c r="AP13" s="134"/>
      <c r="AQ13" s="134"/>
      <c r="AR13" s="134"/>
      <c r="AS13" s="134"/>
      <c r="AT13" s="134"/>
      <c r="AU13" s="134"/>
      <c r="AV13" s="134"/>
      <c r="AW13" s="134"/>
      <c r="AX13" s="134"/>
      <c r="AY13" s="134"/>
      <c r="AZ13" s="134"/>
      <c r="BA13" s="134"/>
      <c r="BB13" s="134"/>
      <c r="BC13" s="134"/>
      <c r="BD13" s="134"/>
      <c r="BE13" s="134"/>
      <c r="BF13" s="134"/>
      <c r="BG13" s="134"/>
      <c r="BH13" s="134"/>
      <c r="BI13" s="134"/>
      <c r="BJ13" s="134"/>
      <c r="BK13" s="134"/>
      <c r="BL13" s="134"/>
      <c r="BM13" s="134"/>
      <c r="BN13" s="134"/>
      <c r="BO13" s="134"/>
      <c r="BP13" s="134"/>
      <c r="BQ13" s="134"/>
      <c r="BR13" s="134"/>
      <c r="BS13" s="134"/>
      <c r="BT13" s="134"/>
      <c r="BU13" s="134"/>
      <c r="BV13" s="134"/>
      <c r="BW13" s="134"/>
      <c r="BX13" s="134"/>
      <c r="BY13" s="134"/>
      <c r="BZ13" s="134"/>
      <c r="CA13" s="134"/>
      <c r="CB13" s="134"/>
      <c r="CC13" s="134"/>
      <c r="CD13" s="134"/>
      <c r="CE13" s="134"/>
      <c r="CF13" s="134"/>
      <c r="CG13" s="134"/>
      <c r="CH13" s="134"/>
      <c r="CI13" s="134"/>
      <c r="CJ13" s="134"/>
      <c r="CK13" s="134"/>
      <c r="CL13" s="134"/>
      <c r="CM13" s="134"/>
      <c r="CN13" s="134"/>
      <c r="CO13" s="134"/>
      <c r="CP13" s="134"/>
      <c r="CQ13" s="134"/>
      <c r="CR13" s="134"/>
      <c r="CS13" s="134"/>
      <c r="CT13" s="134"/>
      <c r="CU13" s="134"/>
      <c r="CV13" s="134"/>
      <c r="CW13" s="134"/>
      <c r="CX13" s="134"/>
      <c r="CY13" s="134"/>
      <c r="CZ13" s="134"/>
      <c r="DA13" s="134"/>
      <c r="DB13" s="134"/>
      <c r="DC13" s="134"/>
      <c r="DD13" s="134"/>
      <c r="DE13" s="134"/>
      <c r="DF13" s="134"/>
      <c r="DG13" s="134"/>
      <c r="DH13" s="134"/>
      <c r="DI13" s="134"/>
      <c r="DJ13" s="134"/>
      <c r="DK13" s="134"/>
      <c r="DL13" s="134"/>
      <c r="DM13" s="134"/>
      <c r="DN13" s="134"/>
      <c r="DO13" s="134"/>
      <c r="DP13" s="134"/>
      <c r="DQ13" s="134"/>
      <c r="DR13" s="134"/>
      <c r="DS13" s="134"/>
      <c r="DT13" s="134"/>
      <c r="DU13" s="134"/>
      <c r="DV13" s="134"/>
      <c r="DW13" s="134"/>
      <c r="DX13" s="134"/>
      <c r="DY13" s="134"/>
      <c r="DZ13" s="134"/>
      <c r="EA13" s="134"/>
      <c r="EB13" s="134"/>
      <c r="EC13" s="134"/>
      <c r="ED13" s="134"/>
      <c r="EE13" s="134"/>
      <c r="EF13" s="134"/>
      <c r="EG13" s="134"/>
      <c r="EH13" s="134"/>
      <c r="EI13" s="134"/>
      <c r="EJ13" s="134"/>
      <c r="EK13" s="134"/>
      <c r="EL13" s="134"/>
      <c r="EM13" s="134"/>
      <c r="EN13" s="134"/>
      <c r="EO13" s="134"/>
      <c r="EP13" s="134"/>
      <c r="EQ13" s="134"/>
      <c r="ER13" s="134"/>
    </row>
    <row r="14" spans="1:148" s="42" customFormat="1" ht="30" customHeight="1" thickBot="1" x14ac:dyDescent="0.2">
      <c r="A14" s="78"/>
      <c r="B14" s="46" t="s">
        <v>32</v>
      </c>
      <c r="C14" s="47"/>
      <c r="D14" s="48"/>
      <c r="E14" s="80"/>
      <c r="F14" s="81"/>
      <c r="G14" s="15"/>
      <c r="H14" s="113" t="str">
        <f t="shared" si="67"/>
        <v/>
      </c>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34"/>
      <c r="AI14" s="134"/>
      <c r="AJ14" s="134"/>
      <c r="AK14" s="134"/>
      <c r="AL14" s="134"/>
      <c r="AM14" s="134"/>
      <c r="AN14" s="134"/>
      <c r="AO14" s="134"/>
      <c r="AP14" s="134"/>
      <c r="AQ14" s="134"/>
      <c r="AR14" s="134"/>
      <c r="AS14" s="134"/>
      <c r="AT14" s="134"/>
      <c r="AU14" s="134"/>
      <c r="AV14" s="134"/>
      <c r="AW14" s="134"/>
      <c r="AX14" s="134"/>
      <c r="AY14" s="134"/>
      <c r="AZ14" s="134"/>
      <c r="BA14" s="134"/>
      <c r="BB14" s="134"/>
      <c r="BC14" s="134"/>
      <c r="BD14" s="134"/>
      <c r="BE14" s="134"/>
      <c r="BF14" s="134"/>
      <c r="BG14" s="134"/>
      <c r="BH14" s="134"/>
      <c r="BI14" s="134"/>
      <c r="BJ14" s="134"/>
      <c r="BK14" s="134"/>
      <c r="BL14" s="134"/>
      <c r="BM14" s="134"/>
      <c r="BN14" s="134"/>
      <c r="BO14" s="134"/>
      <c r="BP14" s="134"/>
      <c r="BQ14" s="134"/>
      <c r="BR14" s="134"/>
      <c r="BS14" s="134"/>
      <c r="BT14" s="134"/>
      <c r="BU14" s="134"/>
      <c r="BV14" s="134"/>
      <c r="BW14" s="134"/>
      <c r="BX14" s="134"/>
      <c r="BY14" s="134"/>
      <c r="BZ14" s="134"/>
      <c r="CA14" s="134"/>
      <c r="CB14" s="134"/>
      <c r="CC14" s="134"/>
      <c r="CD14" s="134"/>
      <c r="CE14" s="134"/>
      <c r="CF14" s="134"/>
      <c r="CG14" s="134"/>
      <c r="CH14" s="134"/>
      <c r="CI14" s="134"/>
      <c r="CJ14" s="134"/>
      <c r="CK14" s="134"/>
      <c r="CL14" s="134"/>
      <c r="CM14" s="134"/>
      <c r="CN14" s="134"/>
      <c r="CO14" s="134"/>
      <c r="CP14" s="134"/>
      <c r="CQ14" s="134"/>
      <c r="CR14" s="134"/>
      <c r="CS14" s="134"/>
      <c r="CT14" s="134"/>
      <c r="CU14" s="134"/>
      <c r="CV14" s="134"/>
      <c r="CW14" s="134"/>
      <c r="CX14" s="134"/>
      <c r="CY14" s="134"/>
      <c r="CZ14" s="134"/>
      <c r="DA14" s="134"/>
      <c r="DB14" s="134"/>
      <c r="DC14" s="134"/>
      <c r="DD14" s="134"/>
      <c r="DE14" s="134"/>
      <c r="DF14" s="134"/>
      <c r="DG14" s="134"/>
      <c r="DH14" s="134"/>
      <c r="DI14" s="134"/>
      <c r="DJ14" s="134"/>
      <c r="DK14" s="134"/>
      <c r="DL14" s="134"/>
      <c r="DM14" s="134"/>
      <c r="DN14" s="134"/>
      <c r="DO14" s="134"/>
      <c r="DP14" s="134"/>
      <c r="DQ14" s="134"/>
      <c r="DR14" s="134"/>
      <c r="DS14" s="134"/>
      <c r="DT14" s="134"/>
      <c r="DU14" s="134"/>
      <c r="DV14" s="134"/>
      <c r="DW14" s="134"/>
      <c r="DX14" s="134"/>
      <c r="DY14" s="134"/>
      <c r="DZ14" s="134"/>
      <c r="EA14" s="134"/>
      <c r="EB14" s="134"/>
      <c r="EC14" s="134"/>
      <c r="ED14" s="134"/>
      <c r="EE14" s="134"/>
      <c r="EF14" s="134"/>
      <c r="EG14" s="134"/>
      <c r="EH14" s="134"/>
      <c r="EI14" s="134"/>
      <c r="EJ14" s="134"/>
      <c r="EK14" s="134"/>
      <c r="EL14" s="134"/>
      <c r="EM14" s="134"/>
      <c r="EN14" s="134"/>
      <c r="EO14" s="134"/>
      <c r="EP14" s="134"/>
      <c r="EQ14" s="134"/>
      <c r="ER14" s="134"/>
    </row>
    <row r="15" spans="1:148" s="42" customFormat="1" ht="30" customHeight="1" thickBot="1" x14ac:dyDescent="0.2">
      <c r="A15" s="78"/>
      <c r="B15" s="49" t="s">
        <v>31</v>
      </c>
      <c r="C15" s="50" t="s">
        <v>26</v>
      </c>
      <c r="D15" s="51"/>
      <c r="E15" s="82">
        <f>F13</f>
        <v>46085</v>
      </c>
      <c r="F15" s="82">
        <f>E15+6</f>
        <v>46091</v>
      </c>
      <c r="G15" s="15"/>
      <c r="H15" s="5">
        <f t="shared" si="67"/>
        <v>7</v>
      </c>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c r="AH15" s="134"/>
      <c r="AI15" s="134"/>
      <c r="AJ15" s="134"/>
      <c r="AK15" s="134"/>
      <c r="AL15" s="134"/>
      <c r="AM15" s="134"/>
      <c r="AN15" s="134"/>
      <c r="AO15" s="134"/>
      <c r="AP15" s="134"/>
      <c r="AQ15" s="134"/>
      <c r="AR15" s="134"/>
      <c r="AS15" s="134"/>
      <c r="AT15" s="134"/>
      <c r="AU15" s="134"/>
      <c r="AV15" s="134"/>
      <c r="AW15" s="134"/>
      <c r="AX15" s="134"/>
      <c r="AY15" s="134"/>
      <c r="AZ15" s="134"/>
      <c r="BA15" s="134"/>
      <c r="BB15" s="134"/>
      <c r="BC15" s="134"/>
      <c r="BD15" s="134"/>
      <c r="BE15" s="134"/>
      <c r="BF15" s="134"/>
      <c r="BG15" s="134"/>
      <c r="BH15" s="134"/>
      <c r="BI15" s="134"/>
      <c r="BJ15" s="134"/>
      <c r="BK15" s="134"/>
      <c r="BL15" s="134"/>
      <c r="BM15" s="134"/>
      <c r="BN15" s="134"/>
      <c r="BO15" s="134"/>
      <c r="BP15" s="134"/>
      <c r="BQ15" s="134"/>
      <c r="BR15" s="134"/>
      <c r="BS15" s="134"/>
      <c r="BT15" s="134"/>
      <c r="BU15" s="134"/>
      <c r="BV15" s="134"/>
      <c r="BW15" s="134"/>
      <c r="BX15" s="134"/>
      <c r="BY15" s="134"/>
      <c r="BZ15" s="134"/>
      <c r="CA15" s="134"/>
      <c r="CB15" s="134"/>
      <c r="CC15" s="134"/>
      <c r="CD15" s="134"/>
      <c r="CE15" s="134"/>
      <c r="CF15" s="134"/>
      <c r="CG15" s="134"/>
      <c r="CH15" s="134"/>
      <c r="CI15" s="134"/>
      <c r="CJ15" s="134"/>
      <c r="CK15" s="134"/>
      <c r="CL15" s="134"/>
      <c r="CM15" s="134"/>
      <c r="CN15" s="134"/>
      <c r="CO15" s="134"/>
      <c r="CP15" s="134"/>
      <c r="CQ15" s="134"/>
      <c r="CR15" s="134"/>
      <c r="CS15" s="134"/>
      <c r="CT15" s="134"/>
      <c r="CU15" s="134"/>
      <c r="CV15" s="134"/>
      <c r="CW15" s="134"/>
      <c r="CX15" s="134"/>
      <c r="CY15" s="134"/>
      <c r="CZ15" s="134"/>
      <c r="DA15" s="134"/>
      <c r="DB15" s="134"/>
      <c r="DC15" s="134"/>
      <c r="DD15" s="134"/>
      <c r="DE15" s="134"/>
      <c r="DF15" s="134"/>
      <c r="DG15" s="134"/>
      <c r="DH15" s="134"/>
      <c r="DI15" s="134"/>
      <c r="DJ15" s="134"/>
      <c r="DK15" s="134"/>
      <c r="DL15" s="134"/>
      <c r="DM15" s="134"/>
      <c r="DN15" s="134"/>
      <c r="DO15" s="134"/>
      <c r="DP15" s="134"/>
      <c r="DQ15" s="134"/>
      <c r="DR15" s="134"/>
      <c r="DS15" s="134"/>
      <c r="DT15" s="134"/>
      <c r="DU15" s="134"/>
      <c r="DV15" s="134"/>
      <c r="DW15" s="134"/>
      <c r="DX15" s="134"/>
      <c r="DY15" s="134"/>
      <c r="DZ15" s="134"/>
      <c r="EA15" s="134"/>
      <c r="EB15" s="134"/>
      <c r="EC15" s="134"/>
      <c r="ED15" s="134"/>
      <c r="EE15" s="134"/>
      <c r="EF15" s="134"/>
      <c r="EG15" s="134"/>
      <c r="EH15" s="134"/>
      <c r="EI15" s="134"/>
      <c r="EJ15" s="134"/>
      <c r="EK15" s="134"/>
      <c r="EL15" s="134"/>
      <c r="EM15" s="134"/>
      <c r="EN15" s="134"/>
      <c r="EO15" s="134"/>
      <c r="EP15" s="134"/>
      <c r="EQ15" s="134"/>
      <c r="ER15" s="134"/>
    </row>
    <row r="16" spans="1:148" s="42" customFormat="1" ht="30" customHeight="1" thickBot="1" x14ac:dyDescent="0.2">
      <c r="A16" s="12"/>
      <c r="B16" s="49" t="s">
        <v>45</v>
      </c>
      <c r="C16" s="50" t="s">
        <v>26</v>
      </c>
      <c r="D16" s="51"/>
      <c r="E16" s="82">
        <v>46085</v>
      </c>
      <c r="F16" s="82">
        <v>46113</v>
      </c>
      <c r="G16" s="15"/>
      <c r="H16" s="5">
        <f t="shared" si="67"/>
        <v>29</v>
      </c>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c r="AH16" s="134"/>
      <c r="AI16" s="134"/>
      <c r="AJ16" s="134"/>
      <c r="AK16" s="134"/>
      <c r="AL16" s="134"/>
      <c r="AM16" s="134"/>
      <c r="AN16" s="134"/>
      <c r="AO16" s="134"/>
      <c r="AP16" s="134"/>
      <c r="AQ16" s="134"/>
      <c r="AR16" s="134"/>
      <c r="AS16" s="134"/>
      <c r="AT16" s="134"/>
      <c r="AU16" s="134"/>
      <c r="AV16" s="134"/>
      <c r="AW16" s="134"/>
      <c r="AX16" s="134"/>
      <c r="AY16" s="134"/>
      <c r="AZ16" s="134"/>
      <c r="BA16" s="134"/>
      <c r="BB16" s="134"/>
      <c r="BC16" s="134"/>
      <c r="BD16" s="134"/>
      <c r="BE16" s="134"/>
      <c r="BF16" s="134"/>
      <c r="BG16" s="134"/>
      <c r="BH16" s="134"/>
      <c r="BI16" s="134"/>
      <c r="BJ16" s="134"/>
      <c r="BK16" s="134"/>
      <c r="BL16" s="134"/>
      <c r="BM16" s="134"/>
      <c r="BN16" s="134"/>
      <c r="BO16" s="134"/>
      <c r="BP16" s="134"/>
      <c r="BQ16" s="134"/>
      <c r="BR16" s="134"/>
      <c r="BS16" s="134"/>
      <c r="BT16" s="134"/>
      <c r="BU16" s="134"/>
      <c r="BV16" s="134"/>
      <c r="BW16" s="134"/>
      <c r="BX16" s="134"/>
      <c r="BY16" s="134"/>
      <c r="BZ16" s="134"/>
      <c r="CA16" s="134"/>
      <c r="CB16" s="134"/>
      <c r="CC16" s="134"/>
      <c r="CD16" s="134"/>
      <c r="CE16" s="134"/>
      <c r="CF16" s="134"/>
      <c r="CG16" s="134"/>
      <c r="CH16" s="134"/>
      <c r="CI16" s="134"/>
      <c r="CJ16" s="134"/>
      <c r="CK16" s="134"/>
      <c r="CL16" s="134"/>
      <c r="CM16" s="134"/>
      <c r="CN16" s="134"/>
      <c r="CO16" s="134"/>
      <c r="CP16" s="134"/>
      <c r="CQ16" s="134"/>
      <c r="CR16" s="134"/>
      <c r="CS16" s="134"/>
      <c r="CT16" s="134"/>
      <c r="CU16" s="134"/>
      <c r="CV16" s="134"/>
      <c r="CW16" s="134"/>
      <c r="CX16" s="134"/>
      <c r="CY16" s="134"/>
      <c r="CZ16" s="134"/>
      <c r="DA16" s="134"/>
      <c r="DB16" s="134"/>
      <c r="DC16" s="134"/>
      <c r="DD16" s="134"/>
      <c r="DE16" s="134"/>
      <c r="DF16" s="134"/>
      <c r="DG16" s="134"/>
      <c r="DH16" s="134"/>
      <c r="DI16" s="134"/>
      <c r="DJ16" s="134"/>
      <c r="DK16" s="134"/>
      <c r="DL16" s="134"/>
      <c r="DM16" s="134"/>
      <c r="DN16" s="134"/>
      <c r="DO16" s="134"/>
      <c r="DP16" s="134"/>
      <c r="DQ16" s="134"/>
      <c r="DR16" s="134"/>
      <c r="DS16" s="134"/>
      <c r="DT16" s="134"/>
      <c r="DU16" s="134"/>
      <c r="DV16" s="134"/>
      <c r="DW16" s="134"/>
      <c r="DX16" s="134"/>
      <c r="DY16" s="134"/>
      <c r="DZ16" s="134"/>
      <c r="EA16" s="134"/>
      <c r="EB16" s="134"/>
      <c r="EC16" s="134"/>
      <c r="ED16" s="134"/>
      <c r="EE16" s="134"/>
      <c r="EF16" s="134"/>
      <c r="EG16" s="134"/>
      <c r="EH16" s="134"/>
      <c r="EI16" s="134"/>
      <c r="EJ16" s="134"/>
      <c r="EK16" s="134"/>
      <c r="EL16" s="134"/>
      <c r="EM16" s="134"/>
      <c r="EN16" s="134"/>
      <c r="EO16" s="134"/>
      <c r="EP16" s="134"/>
      <c r="EQ16" s="134"/>
      <c r="ER16" s="134"/>
    </row>
    <row r="17" spans="1:148" s="42" customFormat="1" ht="30" customHeight="1" thickBot="1" x14ac:dyDescent="0.2">
      <c r="A17" s="12"/>
      <c r="B17" s="49" t="s">
        <v>30</v>
      </c>
      <c r="C17" s="50" t="s">
        <v>26</v>
      </c>
      <c r="D17" s="51"/>
      <c r="E17" s="82">
        <v>46101</v>
      </c>
      <c r="F17" s="82">
        <v>46106</v>
      </c>
      <c r="G17" s="15"/>
      <c r="H17" s="5">
        <f>IF(OR(ISBLANK($E17),ISBLANK($F17)),"",$F17-$E17+1)</f>
        <v>6</v>
      </c>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c r="AH17" s="134"/>
      <c r="AI17" s="134"/>
      <c r="AJ17" s="134"/>
      <c r="AK17" s="134"/>
      <c r="AL17" s="134"/>
      <c r="AM17" s="134"/>
      <c r="AN17" s="134"/>
      <c r="AO17" s="134"/>
      <c r="AP17" s="134"/>
      <c r="AQ17" s="134"/>
      <c r="AR17" s="134"/>
      <c r="AS17" s="134"/>
      <c r="AT17" s="134"/>
      <c r="AU17" s="134"/>
      <c r="AV17" s="134"/>
      <c r="AW17" s="134"/>
      <c r="AX17" s="134"/>
      <c r="AY17" s="134"/>
      <c r="AZ17" s="134"/>
      <c r="BA17" s="134"/>
      <c r="BB17" s="134"/>
      <c r="BC17" s="134"/>
      <c r="BD17" s="134"/>
      <c r="BE17" s="134"/>
      <c r="BF17" s="134"/>
      <c r="BG17" s="134"/>
      <c r="BH17" s="134"/>
      <c r="BI17" s="134"/>
      <c r="BJ17" s="134"/>
      <c r="BK17" s="134"/>
      <c r="BL17" s="134"/>
      <c r="BM17" s="134"/>
      <c r="BN17" s="134"/>
      <c r="BO17" s="134"/>
      <c r="BP17" s="134"/>
      <c r="BQ17" s="134"/>
      <c r="BR17" s="134"/>
      <c r="BS17" s="134"/>
      <c r="BT17" s="134"/>
      <c r="BU17" s="134"/>
      <c r="BV17" s="134"/>
      <c r="BW17" s="134"/>
      <c r="BX17" s="134"/>
      <c r="BY17" s="134"/>
      <c r="BZ17" s="134"/>
      <c r="CA17" s="134"/>
      <c r="CB17" s="134"/>
      <c r="CC17" s="134"/>
      <c r="CD17" s="134"/>
      <c r="CE17" s="134"/>
      <c r="CF17" s="134"/>
      <c r="CG17" s="134"/>
      <c r="CH17" s="134"/>
      <c r="CI17" s="134"/>
      <c r="CJ17" s="134"/>
      <c r="CK17" s="134"/>
      <c r="CL17" s="134"/>
      <c r="CM17" s="134"/>
      <c r="CN17" s="134"/>
      <c r="CO17" s="134"/>
      <c r="CP17" s="134"/>
      <c r="CQ17" s="134"/>
      <c r="CR17" s="134"/>
      <c r="CS17" s="134"/>
      <c r="CT17" s="134"/>
      <c r="CU17" s="134"/>
      <c r="CV17" s="134"/>
      <c r="CW17" s="134"/>
      <c r="CX17" s="134"/>
      <c r="CY17" s="134"/>
      <c r="CZ17" s="134"/>
      <c r="DA17" s="134"/>
      <c r="DB17" s="134"/>
      <c r="DC17" s="134"/>
      <c r="DD17" s="134"/>
      <c r="DE17" s="134"/>
      <c r="DF17" s="134"/>
      <c r="DG17" s="134"/>
      <c r="DH17" s="134"/>
      <c r="DI17" s="134"/>
      <c r="DJ17" s="134"/>
      <c r="DK17" s="134"/>
      <c r="DL17" s="134"/>
      <c r="DM17" s="134"/>
      <c r="DN17" s="134"/>
      <c r="DO17" s="134"/>
      <c r="DP17" s="134"/>
      <c r="DQ17" s="134"/>
      <c r="DR17" s="134"/>
      <c r="DS17" s="134"/>
      <c r="DT17" s="134"/>
      <c r="DU17" s="134"/>
      <c r="DV17" s="134"/>
      <c r="DW17" s="134"/>
      <c r="DX17" s="134"/>
      <c r="DY17" s="134"/>
      <c r="DZ17" s="134"/>
      <c r="EA17" s="134"/>
      <c r="EB17" s="134"/>
      <c r="EC17" s="134"/>
      <c r="ED17" s="134"/>
      <c r="EE17" s="134"/>
      <c r="EF17" s="134"/>
      <c r="EG17" s="134"/>
      <c r="EH17" s="134"/>
      <c r="EI17" s="134"/>
      <c r="EJ17" s="134"/>
      <c r="EK17" s="134"/>
      <c r="EL17" s="134"/>
      <c r="EM17" s="134"/>
      <c r="EN17" s="134"/>
      <c r="EO17" s="134"/>
      <c r="EP17" s="134"/>
      <c r="EQ17" s="134"/>
      <c r="ER17" s="134"/>
    </row>
    <row r="18" spans="1:148" s="42" customFormat="1" ht="30" customHeight="1" thickBot="1" x14ac:dyDescent="0.2">
      <c r="A18" s="12"/>
      <c r="B18" s="49" t="s">
        <v>33</v>
      </c>
      <c r="C18" s="50" t="s">
        <v>26</v>
      </c>
      <c r="D18" s="51"/>
      <c r="E18" s="82">
        <f>F17</f>
        <v>46106</v>
      </c>
      <c r="F18" s="82">
        <v>46115</v>
      </c>
      <c r="G18" s="15"/>
      <c r="H18" s="5">
        <f t="shared" si="67"/>
        <v>10</v>
      </c>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34"/>
      <c r="AI18" s="134"/>
      <c r="AJ18" s="134"/>
      <c r="AK18" s="134"/>
      <c r="AL18" s="134"/>
      <c r="AM18" s="134"/>
      <c r="AN18" s="134"/>
      <c r="AO18" s="134"/>
      <c r="AP18" s="134"/>
      <c r="AQ18" s="134"/>
      <c r="AR18" s="134"/>
      <c r="AS18" s="134"/>
      <c r="AT18" s="134"/>
      <c r="AU18" s="134"/>
      <c r="AV18" s="134"/>
      <c r="AW18" s="134"/>
      <c r="AX18" s="134"/>
      <c r="AY18" s="134"/>
      <c r="AZ18" s="134"/>
      <c r="BA18" s="134"/>
      <c r="BB18" s="134"/>
      <c r="BC18" s="134"/>
      <c r="BD18" s="134"/>
      <c r="BE18" s="134"/>
      <c r="BF18" s="134"/>
      <c r="BG18" s="134"/>
      <c r="BH18" s="134"/>
      <c r="BI18" s="134"/>
      <c r="BJ18" s="134"/>
      <c r="BK18" s="134"/>
      <c r="BL18" s="134"/>
      <c r="BM18" s="134"/>
      <c r="BN18" s="134"/>
      <c r="BO18" s="134"/>
      <c r="BP18" s="134"/>
      <c r="BQ18" s="134"/>
      <c r="BR18" s="134"/>
      <c r="BS18" s="134"/>
      <c r="BT18" s="134"/>
      <c r="BU18" s="134"/>
      <c r="BV18" s="134"/>
      <c r="BW18" s="134"/>
      <c r="BX18" s="134"/>
      <c r="BY18" s="134"/>
      <c r="BZ18" s="134"/>
      <c r="CA18" s="134"/>
      <c r="CB18" s="134"/>
      <c r="CC18" s="134"/>
      <c r="CD18" s="134"/>
      <c r="CE18" s="134"/>
      <c r="CF18" s="134"/>
      <c r="CG18" s="134"/>
      <c r="CH18" s="134"/>
      <c r="CI18" s="134"/>
      <c r="CJ18" s="134"/>
      <c r="CK18" s="134"/>
      <c r="CL18" s="134"/>
      <c r="CM18" s="134"/>
      <c r="CN18" s="134"/>
      <c r="CO18" s="134"/>
      <c r="CP18" s="134"/>
      <c r="CQ18" s="134"/>
      <c r="CR18" s="134"/>
      <c r="CS18" s="134"/>
      <c r="CT18" s="134"/>
      <c r="CU18" s="134"/>
      <c r="CV18" s="134"/>
      <c r="CW18" s="134"/>
      <c r="CX18" s="134"/>
      <c r="CY18" s="134"/>
      <c r="CZ18" s="134"/>
      <c r="DA18" s="134"/>
      <c r="DB18" s="134"/>
      <c r="DC18" s="134"/>
      <c r="DD18" s="134"/>
      <c r="DE18" s="134"/>
      <c r="DF18" s="134"/>
      <c r="DG18" s="134"/>
      <c r="DH18" s="134"/>
      <c r="DI18" s="134"/>
      <c r="DJ18" s="134"/>
      <c r="DK18" s="134"/>
      <c r="DL18" s="134"/>
      <c r="DM18" s="134"/>
      <c r="DN18" s="134"/>
      <c r="DO18" s="134"/>
      <c r="DP18" s="134"/>
      <c r="DQ18" s="134"/>
      <c r="DR18" s="134"/>
      <c r="DS18" s="134"/>
      <c r="DT18" s="134"/>
      <c r="DU18" s="134"/>
      <c r="DV18" s="134"/>
      <c r="DW18" s="134"/>
      <c r="DX18" s="134"/>
      <c r="DY18" s="134"/>
      <c r="DZ18" s="134"/>
      <c r="EA18" s="134"/>
      <c r="EB18" s="134"/>
      <c r="EC18" s="134"/>
      <c r="ED18" s="134"/>
      <c r="EE18" s="134"/>
      <c r="EF18" s="134"/>
      <c r="EG18" s="134"/>
      <c r="EH18" s="134"/>
      <c r="EI18" s="134"/>
      <c r="EJ18" s="134"/>
      <c r="EK18" s="134"/>
      <c r="EL18" s="134"/>
      <c r="EM18" s="134"/>
      <c r="EN18" s="134"/>
      <c r="EO18" s="134"/>
      <c r="EP18" s="134"/>
      <c r="EQ18" s="134"/>
      <c r="ER18" s="134"/>
    </row>
    <row r="19" spans="1:148" s="42" customFormat="1" ht="30" customHeight="1" thickBot="1" x14ac:dyDescent="0.2">
      <c r="A19" s="12"/>
      <c r="B19" s="89" t="s">
        <v>43</v>
      </c>
      <c r="C19" s="90" t="s">
        <v>26</v>
      </c>
      <c r="D19" s="91"/>
      <c r="E19" s="92">
        <f>E18</f>
        <v>46106</v>
      </c>
      <c r="F19" s="92">
        <f>F18</f>
        <v>46115</v>
      </c>
      <c r="G19" s="15"/>
      <c r="H19" s="5">
        <f>IF(OR(ISBLANK($E19),ISBLANK($F19)),"",$F19-$E19+1)</f>
        <v>10</v>
      </c>
      <c r="I19" s="134"/>
      <c r="J19" s="134"/>
      <c r="K19" s="134"/>
      <c r="L19" s="134"/>
      <c r="M19" s="134"/>
      <c r="N19" s="134"/>
      <c r="O19" s="134"/>
      <c r="P19" s="134"/>
      <c r="Q19" s="134"/>
      <c r="R19" s="134"/>
      <c r="S19" s="134"/>
      <c r="T19" s="134"/>
      <c r="U19" s="134"/>
      <c r="V19" s="134"/>
      <c r="W19" s="134"/>
      <c r="X19" s="134"/>
      <c r="Y19" s="134"/>
      <c r="Z19" s="134"/>
      <c r="AA19" s="134"/>
      <c r="AB19" s="134"/>
      <c r="AC19" s="134"/>
      <c r="AD19" s="134"/>
      <c r="AE19" s="134"/>
      <c r="AF19" s="134"/>
      <c r="AG19" s="134"/>
      <c r="AH19" s="134"/>
      <c r="AI19" s="134"/>
      <c r="AJ19" s="134"/>
      <c r="AK19" s="134"/>
      <c r="AL19" s="134"/>
      <c r="AM19" s="134"/>
      <c r="AN19" s="134"/>
      <c r="AO19" s="134"/>
      <c r="AP19" s="134"/>
      <c r="AQ19" s="134"/>
      <c r="AR19" s="134"/>
      <c r="AS19" s="134"/>
      <c r="AT19" s="134"/>
      <c r="AU19" s="134"/>
      <c r="AV19" s="134"/>
      <c r="AW19" s="134"/>
      <c r="AX19" s="134"/>
      <c r="AY19" s="134"/>
      <c r="AZ19" s="134"/>
      <c r="BA19" s="134"/>
      <c r="BB19" s="134"/>
      <c r="BC19" s="134"/>
      <c r="BD19" s="134"/>
      <c r="BE19" s="134"/>
      <c r="BF19" s="134"/>
      <c r="BG19" s="134"/>
      <c r="BH19" s="134"/>
      <c r="BI19" s="134"/>
      <c r="BJ19" s="134"/>
      <c r="BK19" s="134"/>
      <c r="BL19" s="134"/>
      <c r="BM19" s="134"/>
      <c r="BN19" s="134"/>
      <c r="BO19" s="134"/>
      <c r="BP19" s="134"/>
      <c r="BQ19" s="134"/>
      <c r="BR19" s="134"/>
      <c r="BS19" s="134"/>
      <c r="BT19" s="134"/>
      <c r="BU19" s="134"/>
      <c r="BV19" s="134"/>
      <c r="BW19" s="134"/>
      <c r="BX19" s="134"/>
      <c r="BY19" s="134"/>
      <c r="BZ19" s="134"/>
      <c r="CA19" s="134"/>
      <c r="CB19" s="134"/>
      <c r="CC19" s="134"/>
      <c r="CD19" s="134"/>
      <c r="CE19" s="134"/>
      <c r="CF19" s="134"/>
      <c r="CG19" s="134"/>
      <c r="CH19" s="134"/>
      <c r="CI19" s="134"/>
      <c r="CJ19" s="134"/>
      <c r="CK19" s="134"/>
      <c r="CL19" s="134"/>
      <c r="CM19" s="134"/>
      <c r="CN19" s="134"/>
      <c r="CO19" s="134"/>
      <c r="CP19" s="134"/>
      <c r="CQ19" s="134"/>
      <c r="CR19" s="134"/>
      <c r="CS19" s="134"/>
      <c r="CT19" s="134"/>
      <c r="CU19" s="134"/>
      <c r="CV19" s="134"/>
      <c r="CW19" s="134"/>
      <c r="CX19" s="134"/>
      <c r="CY19" s="134"/>
      <c r="CZ19" s="134"/>
      <c r="DA19" s="134"/>
      <c r="DB19" s="134"/>
      <c r="DC19" s="134"/>
      <c r="DD19" s="134"/>
      <c r="DE19" s="134"/>
      <c r="DF19" s="134"/>
      <c r="DG19" s="134"/>
      <c r="DH19" s="134"/>
      <c r="DI19" s="134"/>
      <c r="DJ19" s="134"/>
      <c r="DK19" s="134"/>
      <c r="DL19" s="134"/>
      <c r="DM19" s="134"/>
      <c r="DN19" s="134"/>
      <c r="DO19" s="134"/>
      <c r="DP19" s="134"/>
      <c r="DQ19" s="134"/>
      <c r="DR19" s="134"/>
      <c r="DS19" s="134"/>
      <c r="DT19" s="134"/>
      <c r="DU19" s="134"/>
      <c r="DV19" s="134"/>
      <c r="DW19" s="134"/>
      <c r="DX19" s="134"/>
      <c r="DY19" s="134"/>
      <c r="DZ19" s="134"/>
      <c r="EA19" s="134"/>
      <c r="EB19" s="134"/>
      <c r="EC19" s="134"/>
      <c r="ED19" s="134"/>
      <c r="EE19" s="134"/>
      <c r="EF19" s="134"/>
      <c r="EG19" s="134"/>
      <c r="EH19" s="134"/>
      <c r="EI19" s="134"/>
      <c r="EJ19" s="134"/>
      <c r="EK19" s="134"/>
      <c r="EL19" s="134"/>
      <c r="EM19" s="134"/>
      <c r="EN19" s="134"/>
      <c r="EO19" s="134"/>
      <c r="EP19" s="134"/>
      <c r="EQ19" s="134"/>
      <c r="ER19" s="134"/>
    </row>
    <row r="20" spans="1:148" s="42" customFormat="1" ht="30" customHeight="1" thickBot="1" x14ac:dyDescent="0.2">
      <c r="A20" s="12"/>
      <c r="B20" s="52" t="s">
        <v>34</v>
      </c>
      <c r="C20" s="53"/>
      <c r="D20" s="54"/>
      <c r="E20" s="83"/>
      <c r="F20" s="84"/>
      <c r="G20" s="15"/>
      <c r="H20" s="5" t="str">
        <f t="shared" si="67"/>
        <v/>
      </c>
      <c r="I20" s="134"/>
      <c r="J20" s="134"/>
      <c r="K20" s="134"/>
      <c r="L20" s="134"/>
      <c r="M20" s="134"/>
      <c r="N20" s="134"/>
      <c r="O20" s="134"/>
      <c r="P20" s="134"/>
      <c r="Q20" s="134"/>
      <c r="R20" s="134"/>
      <c r="S20" s="134"/>
      <c r="T20" s="134"/>
      <c r="U20" s="134"/>
      <c r="V20" s="134"/>
      <c r="W20" s="134"/>
      <c r="X20" s="134"/>
      <c r="Y20" s="134"/>
      <c r="Z20" s="134"/>
      <c r="AA20" s="134"/>
      <c r="AB20" s="134"/>
      <c r="AC20" s="134"/>
      <c r="AD20" s="134"/>
      <c r="AE20" s="134"/>
      <c r="AF20" s="134"/>
      <c r="AG20" s="134"/>
      <c r="AH20" s="134"/>
      <c r="AI20" s="134"/>
      <c r="AJ20" s="134"/>
      <c r="AK20" s="134"/>
      <c r="AL20" s="134"/>
      <c r="AM20" s="134"/>
      <c r="AN20" s="134"/>
      <c r="AO20" s="134"/>
      <c r="AP20" s="134"/>
      <c r="AQ20" s="134"/>
      <c r="AR20" s="134"/>
      <c r="AS20" s="134"/>
      <c r="AT20" s="134"/>
      <c r="AU20" s="134"/>
      <c r="AV20" s="134"/>
      <c r="AW20" s="134"/>
      <c r="AX20" s="134"/>
      <c r="AY20" s="134"/>
      <c r="AZ20" s="134"/>
      <c r="BA20" s="134"/>
      <c r="BB20" s="134"/>
      <c r="BC20" s="134"/>
      <c r="BD20" s="134"/>
      <c r="BE20" s="134"/>
      <c r="BF20" s="134"/>
      <c r="BG20" s="134"/>
      <c r="BH20" s="134"/>
      <c r="BI20" s="134"/>
      <c r="BJ20" s="134"/>
      <c r="BK20" s="134"/>
      <c r="BL20" s="134"/>
      <c r="BM20" s="134"/>
      <c r="BN20" s="134"/>
      <c r="BO20" s="134"/>
      <c r="BP20" s="134"/>
      <c r="BQ20" s="134"/>
      <c r="BR20" s="134"/>
      <c r="BS20" s="134"/>
      <c r="BT20" s="134"/>
      <c r="BU20" s="134"/>
      <c r="BV20" s="134"/>
      <c r="BW20" s="134"/>
      <c r="BX20" s="134"/>
      <c r="BY20" s="134"/>
      <c r="BZ20" s="134"/>
      <c r="CA20" s="134"/>
      <c r="CB20" s="134"/>
      <c r="CC20" s="134"/>
      <c r="CD20" s="134"/>
      <c r="CE20" s="134"/>
      <c r="CF20" s="134"/>
      <c r="CG20" s="134"/>
      <c r="CH20" s="134"/>
      <c r="CI20" s="134"/>
      <c r="CJ20" s="134"/>
      <c r="CK20" s="134"/>
      <c r="CL20" s="134"/>
      <c r="CM20" s="134"/>
      <c r="CN20" s="134"/>
      <c r="CO20" s="134"/>
      <c r="CP20" s="134"/>
      <c r="CQ20" s="134"/>
      <c r="CR20" s="134"/>
      <c r="CS20" s="134"/>
      <c r="CT20" s="134"/>
      <c r="CU20" s="134"/>
      <c r="CV20" s="134"/>
      <c r="CW20" s="134"/>
      <c r="CX20" s="134"/>
      <c r="CY20" s="134"/>
      <c r="CZ20" s="134"/>
      <c r="DA20" s="134"/>
      <c r="DB20" s="134"/>
      <c r="DC20" s="134"/>
      <c r="DD20" s="134"/>
      <c r="DE20" s="134"/>
      <c r="DF20" s="134"/>
      <c r="DG20" s="134"/>
      <c r="DH20" s="134"/>
      <c r="DI20" s="134"/>
      <c r="DJ20" s="134"/>
      <c r="DK20" s="134"/>
      <c r="DL20" s="134"/>
      <c r="DM20" s="134"/>
      <c r="DN20" s="134"/>
      <c r="DO20" s="134"/>
      <c r="DP20" s="134"/>
      <c r="DQ20" s="134"/>
      <c r="DR20" s="134"/>
      <c r="DS20" s="134"/>
      <c r="DT20" s="134"/>
      <c r="DU20" s="134"/>
      <c r="DV20" s="134"/>
      <c r="DW20" s="134"/>
      <c r="DX20" s="134"/>
      <c r="DY20" s="134"/>
      <c r="DZ20" s="134"/>
      <c r="EA20" s="134"/>
      <c r="EB20" s="134"/>
      <c r="EC20" s="134"/>
      <c r="ED20" s="134"/>
      <c r="EE20" s="134"/>
      <c r="EF20" s="134"/>
      <c r="EG20" s="134"/>
      <c r="EH20" s="134"/>
      <c r="EI20" s="134"/>
      <c r="EJ20" s="134"/>
      <c r="EK20" s="134"/>
      <c r="EL20" s="134"/>
      <c r="EM20" s="134"/>
      <c r="EN20" s="134"/>
      <c r="EO20" s="134"/>
      <c r="EP20" s="134"/>
      <c r="EQ20" s="134"/>
      <c r="ER20" s="134"/>
    </row>
    <row r="21" spans="1:148" s="42" customFormat="1" ht="30" customHeight="1" thickBot="1" x14ac:dyDescent="0.2">
      <c r="A21" s="12"/>
      <c r="B21" s="55" t="s">
        <v>35</v>
      </c>
      <c r="C21" s="56" t="s">
        <v>26</v>
      </c>
      <c r="D21" s="57"/>
      <c r="E21" s="85">
        <v>46133</v>
      </c>
      <c r="F21" s="85">
        <v>46136</v>
      </c>
      <c r="G21" s="15"/>
      <c r="H21" s="5">
        <f t="shared" si="67"/>
        <v>4</v>
      </c>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c r="AH21" s="134"/>
      <c r="AI21" s="134"/>
      <c r="AJ21" s="134"/>
      <c r="AK21" s="134"/>
      <c r="AL21" s="134"/>
      <c r="AM21" s="134"/>
      <c r="AN21" s="134"/>
      <c r="AO21" s="134"/>
      <c r="AP21" s="134"/>
      <c r="AQ21" s="134"/>
      <c r="AR21" s="134"/>
      <c r="AS21" s="134"/>
      <c r="AT21" s="134"/>
      <c r="AU21" s="134"/>
      <c r="AV21" s="134"/>
      <c r="AW21" s="134"/>
      <c r="AX21" s="134"/>
      <c r="AY21" s="134"/>
      <c r="AZ21" s="134"/>
      <c r="BA21" s="134"/>
      <c r="BB21" s="134"/>
      <c r="BC21" s="134"/>
      <c r="BD21" s="134"/>
      <c r="BE21" s="134"/>
      <c r="BF21" s="134"/>
      <c r="BG21" s="134"/>
      <c r="BH21" s="134"/>
      <c r="BI21" s="134"/>
      <c r="BJ21" s="134"/>
      <c r="BK21" s="134"/>
      <c r="BL21" s="134"/>
      <c r="BM21" s="134"/>
      <c r="BN21" s="134"/>
      <c r="BO21" s="134"/>
      <c r="BP21" s="134"/>
      <c r="BQ21" s="134"/>
      <c r="BR21" s="134"/>
      <c r="BS21" s="134"/>
      <c r="BT21" s="134"/>
      <c r="BU21" s="134"/>
      <c r="BV21" s="134"/>
      <c r="BW21" s="134"/>
      <c r="BX21" s="134"/>
      <c r="BY21" s="134"/>
      <c r="BZ21" s="134"/>
      <c r="CA21" s="134"/>
      <c r="CB21" s="134"/>
      <c r="CC21" s="134"/>
      <c r="CD21" s="134"/>
      <c r="CE21" s="134"/>
      <c r="CF21" s="134"/>
      <c r="CG21" s="134"/>
      <c r="CH21" s="134"/>
      <c r="CI21" s="134"/>
      <c r="CJ21" s="134"/>
      <c r="CK21" s="134"/>
      <c r="CL21" s="134"/>
      <c r="CM21" s="134"/>
      <c r="CN21" s="134"/>
      <c r="CO21" s="134"/>
      <c r="CP21" s="134"/>
      <c r="CQ21" s="134"/>
      <c r="CR21" s="134"/>
      <c r="CS21" s="134"/>
      <c r="CT21" s="134"/>
      <c r="CU21" s="134"/>
      <c r="CV21" s="134"/>
      <c r="CW21" s="134"/>
      <c r="CX21" s="134"/>
      <c r="CY21" s="134"/>
      <c r="CZ21" s="134"/>
      <c r="DA21" s="134"/>
      <c r="DB21" s="134"/>
      <c r="DC21" s="134"/>
      <c r="DD21" s="134"/>
      <c r="DE21" s="134"/>
      <c r="DF21" s="134"/>
      <c r="DG21" s="134"/>
      <c r="DH21" s="134"/>
      <c r="DI21" s="134"/>
      <c r="DJ21" s="134"/>
      <c r="DK21" s="134"/>
      <c r="DL21" s="134"/>
      <c r="DM21" s="134"/>
      <c r="DN21" s="134"/>
      <c r="DO21" s="134"/>
      <c r="DP21" s="134"/>
      <c r="DQ21" s="134"/>
      <c r="DR21" s="134"/>
      <c r="DS21" s="134"/>
      <c r="DT21" s="134"/>
      <c r="DU21" s="134"/>
      <c r="DV21" s="134"/>
      <c r="DW21" s="134"/>
      <c r="DX21" s="134"/>
      <c r="DY21" s="134"/>
      <c r="DZ21" s="134"/>
      <c r="EA21" s="134"/>
      <c r="EB21" s="134"/>
      <c r="EC21" s="134"/>
      <c r="ED21" s="134"/>
      <c r="EE21" s="134"/>
      <c r="EF21" s="134"/>
      <c r="EG21" s="134"/>
      <c r="EH21" s="134"/>
      <c r="EI21" s="134"/>
      <c r="EJ21" s="134"/>
      <c r="EK21" s="134"/>
      <c r="EL21" s="134"/>
      <c r="EM21" s="134"/>
      <c r="EN21" s="134"/>
      <c r="EO21" s="134"/>
      <c r="EP21" s="134"/>
      <c r="EQ21" s="134"/>
      <c r="ER21" s="134"/>
    </row>
    <row r="22" spans="1:148" s="42" customFormat="1" ht="30" customHeight="1" thickBot="1" x14ac:dyDescent="0.2">
      <c r="A22" s="12"/>
      <c r="B22" s="55" t="s">
        <v>47</v>
      </c>
      <c r="C22" s="56" t="s">
        <v>26</v>
      </c>
      <c r="D22" s="57"/>
      <c r="E22" s="85">
        <v>46113</v>
      </c>
      <c r="F22" s="85">
        <v>46183</v>
      </c>
      <c r="G22" s="15"/>
      <c r="H22" s="5">
        <f t="shared" si="67"/>
        <v>71</v>
      </c>
      <c r="I22" s="134"/>
      <c r="J22" s="134"/>
      <c r="K22" s="134"/>
      <c r="L22" s="134"/>
      <c r="M22" s="134"/>
      <c r="N22" s="134"/>
      <c r="O22" s="134"/>
      <c r="P22" s="134"/>
      <c r="Q22" s="134"/>
      <c r="R22" s="134"/>
      <c r="S22" s="134"/>
      <c r="T22" s="134"/>
      <c r="U22" s="134"/>
      <c r="V22" s="134"/>
      <c r="W22" s="134"/>
      <c r="X22" s="134"/>
      <c r="Y22" s="134"/>
      <c r="Z22" s="134"/>
      <c r="AA22" s="134"/>
      <c r="AB22" s="134"/>
      <c r="AC22" s="134"/>
      <c r="AD22" s="134"/>
      <c r="AE22" s="134"/>
      <c r="AF22" s="134"/>
      <c r="AG22" s="134"/>
      <c r="AH22" s="134"/>
      <c r="AI22" s="134"/>
      <c r="AJ22" s="134"/>
      <c r="AK22" s="134"/>
      <c r="AL22" s="134"/>
      <c r="AM22" s="134"/>
      <c r="AN22" s="134"/>
      <c r="AO22" s="134"/>
      <c r="AP22" s="134"/>
      <c r="AQ22" s="134"/>
      <c r="AR22" s="134"/>
      <c r="AS22" s="134"/>
      <c r="AT22" s="134"/>
      <c r="AU22" s="134"/>
      <c r="AV22" s="134"/>
      <c r="AW22" s="134"/>
      <c r="AX22" s="134"/>
      <c r="AY22" s="134"/>
      <c r="AZ22" s="134"/>
      <c r="BA22" s="134"/>
      <c r="BB22" s="134"/>
      <c r="BC22" s="134"/>
      <c r="BD22" s="134"/>
      <c r="BE22" s="134"/>
      <c r="BF22" s="134"/>
      <c r="BG22" s="134"/>
      <c r="BH22" s="134"/>
      <c r="BI22" s="134"/>
      <c r="BJ22" s="134"/>
      <c r="BK22" s="134"/>
      <c r="BL22" s="134"/>
      <c r="BM22" s="134"/>
      <c r="BN22" s="134"/>
      <c r="BO22" s="134"/>
      <c r="BP22" s="134"/>
      <c r="BQ22" s="134"/>
      <c r="BR22" s="134"/>
      <c r="BS22" s="134"/>
      <c r="BT22" s="134"/>
      <c r="BU22" s="134"/>
      <c r="BV22" s="134"/>
      <c r="BW22" s="134"/>
      <c r="BX22" s="134"/>
      <c r="BY22" s="134"/>
      <c r="BZ22" s="134"/>
      <c r="CA22" s="134"/>
      <c r="CB22" s="134"/>
      <c r="CC22" s="134"/>
      <c r="CD22" s="134"/>
      <c r="CE22" s="134"/>
      <c r="CF22" s="134"/>
      <c r="CG22" s="134"/>
      <c r="CH22" s="134"/>
      <c r="CI22" s="134"/>
      <c r="CJ22" s="134"/>
      <c r="CK22" s="134"/>
      <c r="CL22" s="134"/>
      <c r="CM22" s="134"/>
      <c r="CN22" s="134"/>
      <c r="CO22" s="134"/>
      <c r="CP22" s="134"/>
      <c r="CQ22" s="134"/>
      <c r="CR22" s="134"/>
      <c r="CS22" s="134"/>
      <c r="CT22" s="134"/>
      <c r="CU22" s="134"/>
      <c r="CV22" s="134"/>
      <c r="CW22" s="134"/>
      <c r="CX22" s="134"/>
      <c r="CY22" s="134"/>
      <c r="CZ22" s="134"/>
      <c r="DA22" s="134"/>
      <c r="DB22" s="134"/>
      <c r="DC22" s="134"/>
      <c r="DD22" s="134"/>
      <c r="DE22" s="134"/>
      <c r="DF22" s="134"/>
      <c r="DG22" s="134"/>
      <c r="DH22" s="134"/>
      <c r="DI22" s="134"/>
      <c r="DJ22" s="134"/>
      <c r="DK22" s="134"/>
      <c r="DL22" s="134"/>
      <c r="DM22" s="134"/>
      <c r="DN22" s="134"/>
      <c r="DO22" s="134"/>
      <c r="DP22" s="134"/>
      <c r="DQ22" s="134"/>
      <c r="DR22" s="134"/>
      <c r="DS22" s="134"/>
      <c r="DT22" s="134"/>
      <c r="DU22" s="134"/>
      <c r="DV22" s="134"/>
      <c r="DW22" s="134"/>
      <c r="DX22" s="134"/>
      <c r="DY22" s="134"/>
      <c r="DZ22" s="134"/>
      <c r="EA22" s="134"/>
      <c r="EB22" s="134"/>
      <c r="EC22" s="134"/>
      <c r="ED22" s="134"/>
      <c r="EE22" s="134"/>
      <c r="EF22" s="134"/>
      <c r="EG22" s="134"/>
      <c r="EH22" s="134"/>
      <c r="EI22" s="134"/>
      <c r="EJ22" s="134"/>
      <c r="EK22" s="134"/>
      <c r="EL22" s="134"/>
      <c r="EM22" s="134"/>
      <c r="EN22" s="134"/>
      <c r="EO22" s="134"/>
      <c r="EP22" s="134"/>
      <c r="EQ22" s="134"/>
      <c r="ER22" s="134"/>
    </row>
    <row r="23" spans="1:148" s="42" customFormat="1" ht="30" customHeight="1" thickBot="1" x14ac:dyDescent="0.2">
      <c r="A23" s="12"/>
      <c r="B23" s="55" t="s">
        <v>46</v>
      </c>
      <c r="C23" s="56" t="s">
        <v>26</v>
      </c>
      <c r="D23" s="57"/>
      <c r="E23" s="85">
        <f>F22</f>
        <v>46183</v>
      </c>
      <c r="F23" s="85">
        <v>46190</v>
      </c>
      <c r="G23" s="15"/>
      <c r="H23" s="5"/>
      <c r="I23" s="134"/>
      <c r="J23" s="134"/>
      <c r="K23" s="134"/>
      <c r="L23" s="134"/>
      <c r="M23" s="134"/>
      <c r="N23" s="134"/>
      <c r="O23" s="134"/>
      <c r="P23" s="134"/>
      <c r="Q23" s="134"/>
      <c r="R23" s="134"/>
      <c r="S23" s="134"/>
      <c r="T23" s="134"/>
      <c r="U23" s="134"/>
      <c r="V23" s="134"/>
      <c r="W23" s="134"/>
      <c r="X23" s="134"/>
      <c r="Y23" s="134"/>
      <c r="Z23" s="134"/>
      <c r="AA23" s="134"/>
      <c r="AB23" s="134"/>
      <c r="AC23" s="134"/>
      <c r="AD23" s="134"/>
      <c r="AE23" s="134"/>
      <c r="AF23" s="134"/>
      <c r="AG23" s="134"/>
      <c r="AH23" s="134"/>
      <c r="AI23" s="134"/>
      <c r="AJ23" s="134"/>
      <c r="AK23" s="134"/>
      <c r="AL23" s="134"/>
      <c r="AM23" s="134"/>
      <c r="AN23" s="134"/>
      <c r="AO23" s="134"/>
      <c r="AP23" s="134"/>
      <c r="AQ23" s="134"/>
      <c r="AR23" s="134"/>
      <c r="AS23" s="134"/>
      <c r="AT23" s="134"/>
      <c r="AU23" s="134"/>
      <c r="AV23" s="134"/>
      <c r="AW23" s="134"/>
      <c r="AX23" s="134"/>
      <c r="AY23" s="134"/>
      <c r="AZ23" s="134"/>
      <c r="BA23" s="134"/>
      <c r="BB23" s="134"/>
      <c r="BC23" s="134"/>
      <c r="BD23" s="134"/>
      <c r="BE23" s="134"/>
      <c r="BF23" s="134"/>
      <c r="BG23" s="134"/>
      <c r="BH23" s="134"/>
      <c r="BI23" s="134"/>
      <c r="BJ23" s="134"/>
      <c r="BK23" s="134"/>
      <c r="BL23" s="134"/>
      <c r="BM23" s="134"/>
      <c r="BN23" s="134"/>
      <c r="BO23" s="134"/>
      <c r="BP23" s="134"/>
      <c r="BQ23" s="134"/>
      <c r="BR23" s="134"/>
      <c r="BS23" s="134"/>
      <c r="BT23" s="134"/>
      <c r="BU23" s="134"/>
      <c r="BV23" s="134"/>
      <c r="BW23" s="134"/>
      <c r="BX23" s="134"/>
      <c r="BY23" s="134"/>
      <c r="BZ23" s="134"/>
      <c r="CA23" s="134"/>
      <c r="CB23" s="134"/>
      <c r="CC23" s="134"/>
      <c r="CD23" s="134"/>
      <c r="CE23" s="134"/>
      <c r="CF23" s="134"/>
      <c r="CG23" s="134"/>
      <c r="CH23" s="134"/>
      <c r="CI23" s="134"/>
      <c r="CJ23" s="134"/>
      <c r="CK23" s="134"/>
      <c r="CL23" s="134"/>
      <c r="CM23" s="134"/>
      <c r="CN23" s="134"/>
      <c r="CO23" s="134"/>
      <c r="CP23" s="134"/>
      <c r="CQ23" s="134"/>
      <c r="CR23" s="134"/>
      <c r="CS23" s="134"/>
      <c r="CT23" s="134"/>
      <c r="CU23" s="134"/>
      <c r="CV23" s="134"/>
      <c r="CW23" s="134"/>
      <c r="CX23" s="134"/>
      <c r="CY23" s="134"/>
      <c r="CZ23" s="134"/>
      <c r="DA23" s="134"/>
      <c r="DB23" s="134"/>
      <c r="DC23" s="134"/>
      <c r="DD23" s="134"/>
      <c r="DE23" s="134"/>
      <c r="DF23" s="134"/>
      <c r="DG23" s="134"/>
      <c r="DH23" s="134"/>
      <c r="DI23" s="134"/>
      <c r="DJ23" s="134"/>
      <c r="DK23" s="134"/>
      <c r="DL23" s="134"/>
      <c r="DM23" s="134"/>
      <c r="DN23" s="134"/>
      <c r="DO23" s="134"/>
      <c r="DP23" s="134"/>
      <c r="DQ23" s="134"/>
      <c r="DR23" s="134"/>
      <c r="DS23" s="134"/>
      <c r="DT23" s="134"/>
      <c r="DU23" s="134"/>
      <c r="DV23" s="134"/>
      <c r="DW23" s="134"/>
      <c r="DX23" s="134"/>
      <c r="DY23" s="134"/>
      <c r="DZ23" s="134"/>
      <c r="EA23" s="134"/>
      <c r="EB23" s="134"/>
      <c r="EC23" s="134"/>
      <c r="ED23" s="134"/>
      <c r="EE23" s="134"/>
      <c r="EF23" s="134"/>
      <c r="EG23" s="134"/>
      <c r="EH23" s="134"/>
      <c r="EI23" s="134"/>
      <c r="EJ23" s="134"/>
      <c r="EK23" s="134"/>
      <c r="EL23" s="134"/>
      <c r="EM23" s="134"/>
      <c r="EN23" s="134"/>
      <c r="EO23" s="134"/>
      <c r="EP23" s="134"/>
      <c r="EQ23" s="134"/>
      <c r="ER23" s="134"/>
    </row>
    <row r="24" spans="1:148" s="42" customFormat="1" ht="30" customHeight="1" thickBot="1" x14ac:dyDescent="0.2">
      <c r="A24" s="12"/>
      <c r="B24" s="55" t="s">
        <v>36</v>
      </c>
      <c r="C24" s="56" t="s">
        <v>26</v>
      </c>
      <c r="D24" s="57"/>
      <c r="E24" s="85">
        <f>F21+1</f>
        <v>46137</v>
      </c>
      <c r="F24" s="85">
        <v>46197</v>
      </c>
      <c r="G24" s="15"/>
      <c r="H24" s="5">
        <f t="shared" si="67"/>
        <v>61</v>
      </c>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c r="AH24" s="134"/>
      <c r="AI24" s="134"/>
      <c r="AJ24" s="134"/>
      <c r="AK24" s="134"/>
      <c r="AL24" s="134"/>
      <c r="AM24" s="134"/>
      <c r="AN24" s="134"/>
      <c r="AO24" s="134"/>
      <c r="AP24" s="134"/>
      <c r="AQ24" s="134"/>
      <c r="AR24" s="134"/>
      <c r="AS24" s="134"/>
      <c r="AT24" s="134"/>
      <c r="AU24" s="134"/>
      <c r="AV24" s="134"/>
      <c r="AW24" s="134"/>
      <c r="AX24" s="134"/>
      <c r="AY24" s="134"/>
      <c r="AZ24" s="134"/>
      <c r="BA24" s="134"/>
      <c r="BB24" s="134"/>
      <c r="BC24" s="134"/>
      <c r="BD24" s="134"/>
      <c r="BE24" s="134"/>
      <c r="BF24" s="134"/>
      <c r="BG24" s="134"/>
      <c r="BH24" s="134"/>
      <c r="BI24" s="134"/>
      <c r="BJ24" s="134"/>
      <c r="BK24" s="134"/>
      <c r="BL24" s="134"/>
      <c r="BM24" s="134"/>
      <c r="BN24" s="134"/>
      <c r="BO24" s="134"/>
      <c r="BP24" s="134"/>
      <c r="BQ24" s="134"/>
      <c r="BR24" s="134"/>
      <c r="BS24" s="134"/>
      <c r="BT24" s="134"/>
      <c r="BU24" s="134"/>
      <c r="BV24" s="134"/>
      <c r="BW24" s="134"/>
      <c r="BX24" s="134"/>
      <c r="BY24" s="134"/>
      <c r="BZ24" s="134"/>
      <c r="CA24" s="134"/>
      <c r="CB24" s="134"/>
      <c r="CC24" s="134"/>
      <c r="CD24" s="134"/>
      <c r="CE24" s="134"/>
      <c r="CF24" s="134"/>
      <c r="CG24" s="134"/>
      <c r="CH24" s="134"/>
      <c r="CI24" s="134"/>
      <c r="CJ24" s="134"/>
      <c r="CK24" s="134"/>
      <c r="CL24" s="134"/>
      <c r="CM24" s="134"/>
      <c r="CN24" s="134"/>
      <c r="CO24" s="134"/>
      <c r="CP24" s="134"/>
      <c r="CQ24" s="134"/>
      <c r="CR24" s="134"/>
      <c r="CS24" s="134"/>
      <c r="CT24" s="134"/>
      <c r="CU24" s="134"/>
      <c r="CV24" s="134"/>
      <c r="CW24" s="134"/>
      <c r="CX24" s="134"/>
      <c r="CY24" s="134"/>
      <c r="CZ24" s="134"/>
      <c r="DA24" s="134"/>
      <c r="DB24" s="134"/>
      <c r="DC24" s="134"/>
      <c r="DD24" s="134"/>
      <c r="DE24" s="134"/>
      <c r="DF24" s="134"/>
      <c r="DG24" s="134"/>
      <c r="DH24" s="134"/>
      <c r="DI24" s="134"/>
      <c r="DJ24" s="134"/>
      <c r="DK24" s="134"/>
      <c r="DL24" s="134"/>
      <c r="DM24" s="134"/>
      <c r="DN24" s="134"/>
      <c r="DO24" s="134"/>
      <c r="DP24" s="134"/>
      <c r="DQ24" s="134"/>
      <c r="DR24" s="134"/>
      <c r="DS24" s="134"/>
      <c r="DT24" s="134"/>
      <c r="DU24" s="134"/>
      <c r="DV24" s="134"/>
      <c r="DW24" s="134"/>
      <c r="DX24" s="134"/>
      <c r="DY24" s="134"/>
      <c r="DZ24" s="134"/>
      <c r="EA24" s="134"/>
      <c r="EB24" s="134"/>
      <c r="EC24" s="134"/>
      <c r="ED24" s="134"/>
      <c r="EE24" s="134"/>
      <c r="EF24" s="134"/>
      <c r="EG24" s="134"/>
      <c r="EH24" s="134"/>
      <c r="EI24" s="134"/>
      <c r="EJ24" s="134"/>
      <c r="EK24" s="134"/>
      <c r="EL24" s="134"/>
      <c r="EM24" s="134"/>
      <c r="EN24" s="134"/>
      <c r="EO24" s="134"/>
      <c r="EP24" s="134"/>
      <c r="EQ24" s="134"/>
      <c r="ER24" s="134"/>
    </row>
    <row r="25" spans="1:148" s="42" customFormat="1" ht="30" customHeight="1" thickBot="1" x14ac:dyDescent="0.2">
      <c r="A25" s="12"/>
      <c r="B25" s="58" t="s">
        <v>37</v>
      </c>
      <c r="C25" s="59"/>
      <c r="D25" s="60"/>
      <c r="E25" s="86"/>
      <c r="F25" s="87"/>
      <c r="G25" s="15"/>
      <c r="H25" s="5" t="str">
        <f t="shared" si="67"/>
        <v/>
      </c>
      <c r="I25" s="134"/>
      <c r="J25" s="134"/>
      <c r="K25" s="134"/>
      <c r="L25" s="134"/>
      <c r="M25" s="134"/>
      <c r="N25" s="134"/>
      <c r="O25" s="134"/>
      <c r="P25" s="134"/>
      <c r="Q25" s="134"/>
      <c r="R25" s="134"/>
      <c r="S25" s="134"/>
      <c r="T25" s="134"/>
      <c r="U25" s="134"/>
      <c r="V25" s="134"/>
      <c r="W25" s="134"/>
      <c r="X25" s="134"/>
      <c r="Y25" s="134"/>
      <c r="Z25" s="134"/>
      <c r="AA25" s="134"/>
      <c r="AB25" s="134"/>
      <c r="AC25" s="134"/>
      <c r="AD25" s="134"/>
      <c r="AE25" s="134"/>
      <c r="AF25" s="134"/>
      <c r="AG25" s="134"/>
      <c r="AH25" s="134"/>
      <c r="AI25" s="134"/>
      <c r="AJ25" s="134"/>
      <c r="AK25" s="134"/>
      <c r="AL25" s="134"/>
      <c r="AM25" s="134"/>
      <c r="AN25" s="134"/>
      <c r="AO25" s="134"/>
      <c r="AP25" s="134"/>
      <c r="AQ25" s="134"/>
      <c r="AR25" s="134"/>
      <c r="AS25" s="134"/>
      <c r="AT25" s="134"/>
      <c r="AU25" s="134"/>
      <c r="AV25" s="134"/>
      <c r="AW25" s="134"/>
      <c r="AX25" s="134"/>
      <c r="AY25" s="134"/>
      <c r="AZ25" s="134"/>
      <c r="BA25" s="134"/>
      <c r="BB25" s="134"/>
      <c r="BC25" s="134"/>
      <c r="BD25" s="134"/>
      <c r="BE25" s="134"/>
      <c r="BF25" s="134"/>
      <c r="BG25" s="134"/>
      <c r="BH25" s="134"/>
      <c r="BI25" s="134"/>
      <c r="BJ25" s="134"/>
      <c r="BK25" s="134"/>
      <c r="BL25" s="134"/>
      <c r="BM25" s="134"/>
      <c r="BN25" s="134"/>
      <c r="BO25" s="134"/>
      <c r="BP25" s="134"/>
      <c r="BQ25" s="134"/>
      <c r="BR25" s="134"/>
      <c r="BS25" s="134"/>
      <c r="BT25" s="134"/>
      <c r="BU25" s="134"/>
      <c r="BV25" s="134"/>
      <c r="BW25" s="134"/>
      <c r="BX25" s="134"/>
      <c r="BY25" s="134"/>
      <c r="BZ25" s="134"/>
      <c r="CA25" s="134"/>
      <c r="CB25" s="134"/>
      <c r="CC25" s="134"/>
      <c r="CD25" s="134"/>
      <c r="CE25" s="134"/>
      <c r="CF25" s="134"/>
      <c r="CG25" s="134"/>
      <c r="CH25" s="134"/>
      <c r="CI25" s="134"/>
      <c r="CJ25" s="134"/>
      <c r="CK25" s="134"/>
      <c r="CL25" s="134"/>
      <c r="CM25" s="134"/>
      <c r="CN25" s="134"/>
      <c r="CO25" s="134"/>
      <c r="CP25" s="134"/>
      <c r="CQ25" s="134"/>
      <c r="CR25" s="134"/>
      <c r="CS25" s="134"/>
      <c r="CT25" s="134"/>
      <c r="CU25" s="134"/>
      <c r="CV25" s="134"/>
      <c r="CW25" s="134"/>
      <c r="CX25" s="134"/>
      <c r="CY25" s="134"/>
      <c r="CZ25" s="134"/>
      <c r="DA25" s="134"/>
      <c r="DB25" s="134"/>
      <c r="DC25" s="134"/>
      <c r="DD25" s="134"/>
      <c r="DE25" s="134"/>
      <c r="DF25" s="134"/>
      <c r="DG25" s="134"/>
      <c r="DH25" s="134"/>
      <c r="DI25" s="134"/>
      <c r="DJ25" s="134"/>
      <c r="DK25" s="134"/>
      <c r="DL25" s="134"/>
      <c r="DM25" s="134"/>
      <c r="DN25" s="134"/>
      <c r="DO25" s="134"/>
      <c r="DP25" s="134"/>
      <c r="DQ25" s="134"/>
      <c r="DR25" s="134"/>
      <c r="DS25" s="134"/>
      <c r="DT25" s="134"/>
      <c r="DU25" s="134"/>
      <c r="DV25" s="134"/>
      <c r="DW25" s="134"/>
      <c r="DX25" s="134"/>
      <c r="DY25" s="134"/>
      <c r="DZ25" s="134"/>
      <c r="EA25" s="134"/>
      <c r="EB25" s="134"/>
      <c r="EC25" s="134"/>
      <c r="ED25" s="134"/>
      <c r="EE25" s="134"/>
      <c r="EF25" s="134"/>
      <c r="EG25" s="134"/>
      <c r="EH25" s="134"/>
      <c r="EI25" s="134"/>
      <c r="EJ25" s="134"/>
      <c r="EK25" s="134"/>
      <c r="EL25" s="134"/>
      <c r="EM25" s="134"/>
      <c r="EN25" s="134"/>
      <c r="EO25" s="134"/>
      <c r="EP25" s="134"/>
      <c r="EQ25" s="134"/>
      <c r="ER25" s="134"/>
    </row>
    <row r="26" spans="1:148" s="42" customFormat="1" ht="30" customHeight="1" thickBot="1" x14ac:dyDescent="0.2">
      <c r="A26" s="12"/>
      <c r="B26" s="61" t="s">
        <v>40</v>
      </c>
      <c r="C26" s="62" t="s">
        <v>26</v>
      </c>
      <c r="D26" s="63"/>
      <c r="E26" s="88">
        <v>46197</v>
      </c>
      <c r="F26" s="88">
        <v>46197</v>
      </c>
      <c r="G26" s="15"/>
      <c r="H26" s="5">
        <f t="shared" si="67"/>
        <v>1</v>
      </c>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4"/>
      <c r="BF26" s="134"/>
      <c r="BG26" s="134"/>
      <c r="BH26" s="134"/>
      <c r="BI26" s="134"/>
      <c r="BJ26" s="134"/>
      <c r="BK26" s="134"/>
      <c r="BL26" s="134"/>
      <c r="BM26" s="134"/>
      <c r="BN26" s="134"/>
      <c r="BO26" s="134"/>
      <c r="BP26" s="134"/>
      <c r="BQ26" s="134"/>
      <c r="BR26" s="134"/>
      <c r="BS26" s="134"/>
      <c r="BT26" s="134"/>
      <c r="BU26" s="134"/>
      <c r="BV26" s="134"/>
      <c r="BW26" s="134"/>
      <c r="BX26" s="134"/>
      <c r="BY26" s="134"/>
      <c r="BZ26" s="134"/>
      <c r="CA26" s="134"/>
      <c r="CB26" s="134"/>
      <c r="CC26" s="134"/>
      <c r="CD26" s="134"/>
      <c r="CE26" s="134"/>
      <c r="CF26" s="134"/>
      <c r="CG26" s="134"/>
      <c r="CH26" s="134"/>
      <c r="CI26" s="134"/>
      <c r="CJ26" s="134"/>
      <c r="CK26" s="134"/>
      <c r="CL26" s="134"/>
      <c r="CM26" s="134"/>
      <c r="CN26" s="134"/>
      <c r="CO26" s="134"/>
      <c r="CP26" s="134"/>
      <c r="CQ26" s="134"/>
      <c r="CR26" s="134"/>
      <c r="CS26" s="134"/>
      <c r="CT26" s="134"/>
      <c r="CU26" s="134"/>
      <c r="CV26" s="134"/>
      <c r="CW26" s="134"/>
      <c r="CX26" s="134"/>
      <c r="CY26" s="134"/>
      <c r="CZ26" s="134"/>
      <c r="DA26" s="134"/>
      <c r="DB26" s="134"/>
      <c r="DC26" s="134"/>
      <c r="DD26" s="134"/>
      <c r="DE26" s="134"/>
      <c r="DF26" s="134"/>
      <c r="DG26" s="134"/>
      <c r="DH26" s="134"/>
      <c r="DI26" s="134"/>
      <c r="DJ26" s="134"/>
      <c r="DK26" s="134"/>
      <c r="DL26" s="134"/>
      <c r="DM26" s="134"/>
      <c r="DN26" s="134"/>
      <c r="DO26" s="134"/>
      <c r="DP26" s="134"/>
      <c r="DQ26" s="134"/>
      <c r="DR26" s="134"/>
      <c r="DS26" s="134"/>
      <c r="DT26" s="134"/>
      <c r="DU26" s="134"/>
      <c r="DV26" s="134"/>
      <c r="DW26" s="134"/>
      <c r="DX26" s="134"/>
      <c r="DY26" s="134"/>
      <c r="DZ26" s="134"/>
      <c r="EA26" s="134"/>
      <c r="EB26" s="134"/>
      <c r="EC26" s="134"/>
      <c r="ED26" s="134"/>
      <c r="EE26" s="134"/>
      <c r="EF26" s="134"/>
      <c r="EG26" s="134"/>
      <c r="EH26" s="134"/>
      <c r="EI26" s="134"/>
      <c r="EJ26" s="134"/>
      <c r="EK26" s="134"/>
      <c r="EL26" s="134"/>
      <c r="EM26" s="134"/>
      <c r="EN26" s="134"/>
      <c r="EO26" s="134"/>
      <c r="EP26" s="134"/>
      <c r="EQ26" s="134"/>
      <c r="ER26" s="134"/>
    </row>
    <row r="27" spans="1:148" s="42" customFormat="1" ht="30" customHeight="1" thickBot="1" x14ac:dyDescent="0.2">
      <c r="A27" s="12"/>
      <c r="B27" s="61" t="s">
        <v>44</v>
      </c>
      <c r="C27" s="62" t="s">
        <v>26</v>
      </c>
      <c r="D27" s="63"/>
      <c r="E27" s="88">
        <v>46195</v>
      </c>
      <c r="F27" s="88">
        <v>46197</v>
      </c>
      <c r="G27" s="15"/>
      <c r="H27" s="5">
        <f>IF(OR(ISBLANK($E27),ISBLANK($F27)),"",$F27-$E27+1)</f>
        <v>3</v>
      </c>
      <c r="I27" s="134"/>
      <c r="J27" s="134"/>
      <c r="K27" s="134"/>
      <c r="L27" s="134"/>
      <c r="M27" s="134"/>
      <c r="N27" s="134"/>
      <c r="O27" s="134"/>
      <c r="P27" s="134"/>
      <c r="Q27" s="134"/>
      <c r="R27" s="134"/>
      <c r="S27" s="134"/>
      <c r="T27" s="134"/>
      <c r="U27" s="134"/>
      <c r="V27" s="134"/>
      <c r="W27" s="134"/>
      <c r="X27" s="134"/>
      <c r="Y27" s="134"/>
      <c r="Z27" s="134"/>
      <c r="AA27" s="134"/>
      <c r="AB27" s="134"/>
      <c r="AC27" s="134"/>
      <c r="AD27" s="134"/>
      <c r="AE27" s="134"/>
      <c r="AF27" s="134"/>
      <c r="AG27" s="134"/>
      <c r="AH27" s="134"/>
      <c r="AI27" s="134"/>
      <c r="AJ27" s="134"/>
      <c r="AK27" s="134"/>
      <c r="AL27" s="134"/>
      <c r="AM27" s="134"/>
      <c r="AN27" s="134"/>
      <c r="AO27" s="134"/>
      <c r="AP27" s="134"/>
      <c r="AQ27" s="134"/>
      <c r="AR27" s="134"/>
      <c r="AS27" s="134"/>
      <c r="AT27" s="134"/>
      <c r="AU27" s="134"/>
      <c r="AV27" s="134"/>
      <c r="AW27" s="134"/>
      <c r="AX27" s="134"/>
      <c r="AY27" s="134"/>
      <c r="AZ27" s="134"/>
      <c r="BA27" s="134"/>
      <c r="BB27" s="134"/>
      <c r="BC27" s="134"/>
      <c r="BD27" s="134"/>
      <c r="BE27" s="134"/>
      <c r="BF27" s="134"/>
      <c r="BG27" s="134"/>
      <c r="BH27" s="134"/>
      <c r="BI27" s="134"/>
      <c r="BJ27" s="134"/>
      <c r="BK27" s="134"/>
      <c r="BL27" s="134"/>
      <c r="BM27" s="134"/>
      <c r="BN27" s="134"/>
      <c r="BO27" s="134"/>
      <c r="BP27" s="134"/>
      <c r="BQ27" s="134"/>
      <c r="BR27" s="134"/>
      <c r="BS27" s="134"/>
      <c r="BT27" s="134"/>
      <c r="BU27" s="134"/>
      <c r="BV27" s="134"/>
      <c r="BW27" s="134"/>
      <c r="BX27" s="134"/>
      <c r="BY27" s="134"/>
      <c r="BZ27" s="134"/>
      <c r="CA27" s="134"/>
      <c r="CB27" s="134"/>
      <c r="CC27" s="134"/>
      <c r="CD27" s="134"/>
      <c r="CE27" s="134"/>
      <c r="CF27" s="134"/>
      <c r="CG27" s="134"/>
      <c r="CH27" s="134"/>
      <c r="CI27" s="134"/>
      <c r="CJ27" s="134"/>
      <c r="CK27" s="134"/>
      <c r="CL27" s="134"/>
      <c r="CM27" s="134"/>
      <c r="CN27" s="134"/>
      <c r="CO27" s="134"/>
      <c r="CP27" s="134"/>
      <c r="CQ27" s="134"/>
      <c r="CR27" s="134"/>
      <c r="CS27" s="134"/>
      <c r="CT27" s="134"/>
      <c r="CU27" s="134"/>
      <c r="CV27" s="134"/>
      <c r="CW27" s="134"/>
      <c r="CX27" s="134"/>
      <c r="CY27" s="134"/>
      <c r="CZ27" s="134"/>
      <c r="DA27" s="134"/>
      <c r="DB27" s="134"/>
      <c r="DC27" s="134"/>
      <c r="DD27" s="134"/>
      <c r="DE27" s="134"/>
      <c r="DF27" s="134"/>
      <c r="DG27" s="134"/>
      <c r="DH27" s="134"/>
      <c r="DI27" s="134"/>
      <c r="DJ27" s="134"/>
      <c r="DK27" s="134"/>
      <c r="DL27" s="134"/>
      <c r="DM27" s="134"/>
      <c r="DN27" s="134"/>
      <c r="DO27" s="134"/>
      <c r="DP27" s="134"/>
      <c r="DQ27" s="134"/>
      <c r="DR27" s="134"/>
      <c r="DS27" s="134"/>
      <c r="DT27" s="134"/>
      <c r="DU27" s="134"/>
      <c r="DV27" s="134"/>
      <c r="DW27" s="134"/>
      <c r="DX27" s="134"/>
      <c r="DY27" s="134"/>
      <c r="DZ27" s="134"/>
      <c r="EA27" s="134"/>
      <c r="EB27" s="134"/>
      <c r="EC27" s="134"/>
      <c r="ED27" s="134"/>
      <c r="EE27" s="134"/>
      <c r="EF27" s="134"/>
      <c r="EG27" s="134"/>
      <c r="EH27" s="134"/>
      <c r="EI27" s="134"/>
      <c r="EJ27" s="134"/>
      <c r="EK27" s="134"/>
      <c r="EL27" s="134"/>
      <c r="EM27" s="134"/>
      <c r="EN27" s="134"/>
      <c r="EO27" s="134"/>
      <c r="EP27" s="134"/>
      <c r="EQ27" s="134"/>
      <c r="ER27" s="134"/>
    </row>
    <row r="28" spans="1:148" s="42" customFormat="1" ht="30" customHeight="1" thickBot="1" x14ac:dyDescent="0.2">
      <c r="A28" s="12"/>
      <c r="B28" s="61" t="s">
        <v>38</v>
      </c>
      <c r="C28" s="62" t="s">
        <v>26</v>
      </c>
      <c r="D28" s="63"/>
      <c r="E28" s="88">
        <v>46195</v>
      </c>
      <c r="F28" s="88">
        <v>46197</v>
      </c>
      <c r="G28" s="15"/>
      <c r="H28" s="5">
        <f t="shared" si="67"/>
        <v>3</v>
      </c>
      <c r="I28" s="134"/>
      <c r="J28" s="134"/>
      <c r="K28" s="134"/>
      <c r="L28" s="134"/>
      <c r="M28" s="134"/>
      <c r="N28" s="134"/>
      <c r="O28" s="134"/>
      <c r="P28" s="134"/>
      <c r="Q28" s="134"/>
      <c r="R28" s="134"/>
      <c r="S28" s="134"/>
      <c r="T28" s="134"/>
      <c r="U28" s="134"/>
      <c r="V28" s="134"/>
      <c r="W28" s="134"/>
      <c r="X28" s="134"/>
      <c r="Y28" s="134"/>
      <c r="Z28" s="134"/>
      <c r="AA28" s="134"/>
      <c r="AB28" s="134"/>
      <c r="AC28" s="134"/>
      <c r="AD28" s="134"/>
      <c r="AE28" s="134"/>
      <c r="AF28" s="134"/>
      <c r="AG28" s="134"/>
      <c r="AH28" s="134"/>
      <c r="AI28" s="134"/>
      <c r="AJ28" s="134"/>
      <c r="AK28" s="134"/>
      <c r="AL28" s="134"/>
      <c r="AM28" s="134"/>
      <c r="AN28" s="134"/>
      <c r="AO28" s="134"/>
      <c r="AP28" s="134"/>
      <c r="AQ28" s="134"/>
      <c r="AR28" s="134"/>
      <c r="AS28" s="134"/>
      <c r="AT28" s="134"/>
      <c r="AU28" s="134"/>
      <c r="AV28" s="134"/>
      <c r="AW28" s="134"/>
      <c r="AX28" s="134"/>
      <c r="AY28" s="134"/>
      <c r="AZ28" s="134"/>
      <c r="BA28" s="134"/>
      <c r="BB28" s="134"/>
      <c r="BC28" s="134"/>
      <c r="BD28" s="134"/>
      <c r="BE28" s="134"/>
      <c r="BF28" s="134"/>
      <c r="BG28" s="134"/>
      <c r="BH28" s="134"/>
      <c r="BI28" s="134"/>
      <c r="BJ28" s="134"/>
      <c r="BK28" s="134"/>
      <c r="BL28" s="134"/>
      <c r="BM28" s="134"/>
      <c r="BN28" s="134"/>
      <c r="BO28" s="134"/>
      <c r="BP28" s="134"/>
      <c r="BQ28" s="134"/>
      <c r="BR28" s="134"/>
      <c r="BS28" s="134"/>
      <c r="BT28" s="134"/>
      <c r="BU28" s="134"/>
      <c r="BV28" s="134"/>
      <c r="BW28" s="134"/>
      <c r="BX28" s="134"/>
      <c r="BY28" s="134"/>
      <c r="BZ28" s="134"/>
      <c r="CA28" s="134"/>
      <c r="CB28" s="134"/>
      <c r="CC28" s="134"/>
      <c r="CD28" s="134"/>
      <c r="CE28" s="134"/>
      <c r="CF28" s="134"/>
      <c r="CG28" s="134"/>
      <c r="CH28" s="134"/>
      <c r="CI28" s="134"/>
      <c r="CJ28" s="134"/>
      <c r="CK28" s="134"/>
      <c r="CL28" s="134"/>
      <c r="CM28" s="134"/>
      <c r="CN28" s="134"/>
      <c r="CO28" s="134"/>
      <c r="CP28" s="134"/>
      <c r="CQ28" s="134"/>
      <c r="CR28" s="134"/>
      <c r="CS28" s="134"/>
      <c r="CT28" s="134"/>
      <c r="CU28" s="134"/>
      <c r="CV28" s="134"/>
      <c r="CW28" s="134"/>
      <c r="CX28" s="134"/>
      <c r="CY28" s="134"/>
      <c r="CZ28" s="134"/>
      <c r="DA28" s="134"/>
      <c r="DB28" s="134"/>
      <c r="DC28" s="134"/>
      <c r="DD28" s="134"/>
      <c r="DE28" s="134"/>
      <c r="DF28" s="134"/>
      <c r="DG28" s="134"/>
      <c r="DH28" s="134"/>
      <c r="DI28" s="134"/>
      <c r="DJ28" s="134"/>
      <c r="DK28" s="134"/>
      <c r="DL28" s="134"/>
      <c r="DM28" s="134"/>
      <c r="DN28" s="134"/>
      <c r="DO28" s="134"/>
      <c r="DP28" s="134"/>
      <c r="DQ28" s="134"/>
      <c r="DR28" s="134"/>
      <c r="DS28" s="134"/>
      <c r="DT28" s="134"/>
      <c r="DU28" s="134"/>
      <c r="DV28" s="134"/>
      <c r="DW28" s="134"/>
      <c r="DX28" s="134"/>
      <c r="DY28" s="134"/>
      <c r="DZ28" s="134"/>
      <c r="EA28" s="134"/>
      <c r="EB28" s="134"/>
      <c r="EC28" s="134"/>
      <c r="ED28" s="134"/>
      <c r="EE28" s="134"/>
      <c r="EF28" s="134"/>
      <c r="EG28" s="134"/>
      <c r="EH28" s="134"/>
      <c r="EI28" s="134"/>
      <c r="EJ28" s="134"/>
      <c r="EK28" s="134"/>
      <c r="EL28" s="134"/>
      <c r="EM28" s="134"/>
      <c r="EN28" s="134"/>
      <c r="EO28" s="134"/>
      <c r="EP28" s="134"/>
      <c r="EQ28" s="134"/>
      <c r="ER28" s="134"/>
    </row>
    <row r="29" spans="1:148" s="42" customFormat="1" ht="30" customHeight="1" thickBot="1" x14ac:dyDescent="0.2">
      <c r="A29" s="12"/>
      <c r="B29" s="93" t="s">
        <v>39</v>
      </c>
      <c r="C29" s="94" t="s">
        <v>26</v>
      </c>
      <c r="D29" s="95"/>
      <c r="E29" s="96">
        <v>46195</v>
      </c>
      <c r="F29" s="96">
        <v>46198</v>
      </c>
      <c r="G29" s="15"/>
      <c r="H29" s="5">
        <f>IF(OR(ISBLANK($E29),ISBLANK($F29)),"",$F29-$E29+1)</f>
        <v>4</v>
      </c>
      <c r="I29" s="135"/>
      <c r="J29" s="135"/>
      <c r="K29" s="135"/>
      <c r="L29" s="135"/>
      <c r="M29" s="135"/>
      <c r="N29" s="135"/>
      <c r="O29" s="135"/>
      <c r="P29" s="135"/>
      <c r="Q29" s="135"/>
      <c r="R29" s="135"/>
      <c r="S29" s="135"/>
      <c r="T29" s="135"/>
      <c r="U29" s="135"/>
      <c r="V29" s="135"/>
      <c r="W29" s="135"/>
      <c r="X29" s="135"/>
      <c r="Y29" s="135"/>
      <c r="Z29" s="135"/>
      <c r="AA29" s="135"/>
      <c r="AB29" s="135"/>
      <c r="AC29" s="135"/>
      <c r="AD29" s="135"/>
      <c r="AE29" s="135"/>
      <c r="AF29" s="135"/>
      <c r="AG29" s="135"/>
      <c r="AH29" s="135"/>
      <c r="AI29" s="135"/>
      <c r="AJ29" s="135"/>
      <c r="AK29" s="135"/>
      <c r="AL29" s="135"/>
      <c r="AM29" s="135"/>
      <c r="AN29" s="135"/>
      <c r="AO29" s="135"/>
      <c r="AP29" s="135"/>
      <c r="AQ29" s="135"/>
      <c r="AR29" s="135"/>
      <c r="AS29" s="135"/>
      <c r="AT29" s="135"/>
      <c r="AU29" s="135"/>
      <c r="AV29" s="135"/>
      <c r="AW29" s="135"/>
      <c r="AX29" s="135"/>
      <c r="AY29" s="135"/>
      <c r="AZ29" s="135"/>
      <c r="BA29" s="135"/>
      <c r="BB29" s="135"/>
      <c r="BC29" s="135"/>
      <c r="BD29" s="135"/>
      <c r="BE29" s="135"/>
      <c r="BF29" s="135"/>
      <c r="BG29" s="135"/>
      <c r="BH29" s="135"/>
      <c r="BI29" s="135"/>
      <c r="BJ29" s="135"/>
      <c r="BK29" s="135"/>
      <c r="BL29" s="135"/>
      <c r="BM29" s="135"/>
      <c r="BN29" s="135"/>
      <c r="BO29" s="135"/>
      <c r="BP29" s="135"/>
      <c r="BQ29" s="135"/>
      <c r="BR29" s="135"/>
      <c r="BS29" s="135"/>
      <c r="BT29" s="135"/>
      <c r="BU29" s="135"/>
      <c r="BV29" s="135"/>
      <c r="BW29" s="135"/>
      <c r="BX29" s="135"/>
      <c r="BY29" s="135"/>
      <c r="BZ29" s="135"/>
      <c r="CA29" s="135"/>
      <c r="CB29" s="135"/>
      <c r="CC29" s="135"/>
      <c r="CD29" s="135"/>
      <c r="CE29" s="135"/>
      <c r="CF29" s="135"/>
      <c r="CG29" s="135"/>
      <c r="CH29" s="135"/>
      <c r="CI29" s="135"/>
      <c r="CJ29" s="135"/>
      <c r="CK29" s="135"/>
      <c r="CL29" s="135"/>
      <c r="CM29" s="135"/>
      <c r="CN29" s="135"/>
      <c r="CO29" s="135"/>
      <c r="CP29" s="135"/>
      <c r="CQ29" s="135"/>
      <c r="CR29" s="135"/>
      <c r="CS29" s="135"/>
      <c r="CT29" s="135"/>
      <c r="CU29" s="135"/>
      <c r="CV29" s="135"/>
      <c r="CW29" s="135"/>
      <c r="CX29" s="135"/>
      <c r="CY29" s="135"/>
      <c r="CZ29" s="135"/>
      <c r="DA29" s="135"/>
      <c r="DB29" s="135"/>
      <c r="DC29" s="135"/>
      <c r="DD29" s="135"/>
      <c r="DE29" s="135"/>
      <c r="DF29" s="135"/>
      <c r="DG29" s="135"/>
      <c r="DH29" s="135"/>
      <c r="DI29" s="135"/>
      <c r="DJ29" s="135"/>
      <c r="DK29" s="135"/>
      <c r="DL29" s="135"/>
      <c r="DM29" s="135"/>
      <c r="DN29" s="135"/>
      <c r="DO29" s="135"/>
      <c r="DP29" s="135"/>
      <c r="DQ29" s="135"/>
      <c r="DR29" s="135"/>
      <c r="DS29" s="135"/>
      <c r="DT29" s="135"/>
      <c r="DU29" s="135"/>
      <c r="DV29" s="135"/>
      <c r="DW29" s="135"/>
      <c r="DX29" s="135"/>
      <c r="DY29" s="135"/>
      <c r="DZ29" s="135"/>
      <c r="EA29" s="135"/>
      <c r="EB29" s="135"/>
      <c r="EC29" s="135"/>
      <c r="ED29" s="135"/>
      <c r="EE29" s="135"/>
      <c r="EF29" s="135"/>
      <c r="EG29" s="135"/>
      <c r="EH29" s="135"/>
      <c r="EI29" s="135"/>
      <c r="EJ29" s="135"/>
      <c r="EK29" s="135"/>
      <c r="EL29" s="135"/>
      <c r="EM29" s="135"/>
      <c r="EN29" s="135"/>
      <c r="EO29" s="135"/>
      <c r="EP29" s="135"/>
      <c r="EQ29" s="135"/>
      <c r="ER29" s="135"/>
    </row>
    <row r="30" spans="1:148" s="42" customFormat="1" ht="30" customHeight="1" thickBot="1" x14ac:dyDescent="0.2">
      <c r="A30" s="12"/>
      <c r="B30" s="64"/>
      <c r="C30" s="65"/>
      <c r="D30" s="66"/>
      <c r="E30" s="67"/>
      <c r="F30" s="67"/>
      <c r="G30" s="15"/>
      <c r="H30" s="5" t="str">
        <f t="shared" si="67"/>
        <v/>
      </c>
      <c r="I30" s="136"/>
      <c r="J30" s="136"/>
      <c r="K30" s="136"/>
      <c r="L30" s="136"/>
      <c r="M30" s="136"/>
      <c r="N30" s="136"/>
      <c r="O30" s="136"/>
      <c r="P30" s="136"/>
      <c r="Q30" s="136"/>
      <c r="R30" s="136"/>
      <c r="S30" s="136"/>
      <c r="T30" s="136"/>
      <c r="U30" s="136"/>
      <c r="V30" s="136"/>
      <c r="W30" s="136"/>
      <c r="X30" s="136"/>
      <c r="Y30" s="136"/>
      <c r="Z30" s="136"/>
      <c r="AA30" s="136"/>
      <c r="AB30" s="136"/>
      <c r="AC30" s="136"/>
      <c r="AD30" s="136"/>
      <c r="AE30" s="136"/>
      <c r="AF30" s="136"/>
      <c r="AG30" s="136"/>
      <c r="AH30" s="136"/>
      <c r="AI30" s="136"/>
      <c r="AJ30" s="136"/>
      <c r="AK30" s="136"/>
      <c r="AL30" s="136"/>
      <c r="AM30" s="136"/>
      <c r="AN30" s="136"/>
      <c r="AO30" s="136"/>
      <c r="AP30" s="136"/>
      <c r="AQ30" s="136"/>
      <c r="AR30" s="136"/>
      <c r="AS30" s="136"/>
      <c r="AT30" s="136"/>
      <c r="AU30" s="136"/>
      <c r="AV30" s="136"/>
      <c r="AW30" s="136"/>
      <c r="AX30" s="136"/>
      <c r="AY30" s="136"/>
      <c r="AZ30" s="136"/>
      <c r="BA30" s="136"/>
      <c r="BB30" s="136"/>
      <c r="BC30" s="136"/>
      <c r="BD30" s="136"/>
      <c r="BE30" s="136"/>
      <c r="BF30" s="136"/>
      <c r="BG30" s="136"/>
      <c r="BH30" s="136"/>
      <c r="BI30" s="136"/>
      <c r="BJ30" s="136"/>
      <c r="BK30" s="136"/>
      <c r="BL30" s="136"/>
    </row>
    <row r="31" spans="1:148" ht="30" customHeight="1" x14ac:dyDescent="0.15">
      <c r="G31" s="3"/>
    </row>
    <row r="32" spans="1:148" ht="30" customHeight="1" x14ac:dyDescent="0.15">
      <c r="C32" s="14"/>
      <c r="F32" s="13"/>
    </row>
    <row r="33" spans="3:3" ht="30" customHeight="1" x14ac:dyDescent="0.15">
      <c r="C33" s="4"/>
    </row>
  </sheetData>
  <mergeCells count="30">
    <mergeCell ref="BF4:BL4"/>
    <mergeCell ref="I4:O4"/>
    <mergeCell ref="P4:V4"/>
    <mergeCell ref="W4:AC4"/>
    <mergeCell ref="AD4:AJ4"/>
    <mergeCell ref="AK4:AQ4"/>
    <mergeCell ref="AR4:AX4"/>
    <mergeCell ref="AY4:BE4"/>
    <mergeCell ref="F5:F6"/>
    <mergeCell ref="Q2:Z2"/>
    <mergeCell ref="Q1:Z1"/>
    <mergeCell ref="I1:O1"/>
    <mergeCell ref="I2:O2"/>
    <mergeCell ref="A5:A6"/>
    <mergeCell ref="B5:B6"/>
    <mergeCell ref="C5:C6"/>
    <mergeCell ref="D5:D6"/>
    <mergeCell ref="E5:E6"/>
    <mergeCell ref="BM4:BS4"/>
    <mergeCell ref="BT4:BZ4"/>
    <mergeCell ref="CA4:CG4"/>
    <mergeCell ref="CH4:CN4"/>
    <mergeCell ref="CO4:CU4"/>
    <mergeCell ref="EE4:EK4"/>
    <mergeCell ref="EL4:ER4"/>
    <mergeCell ref="CV4:DB4"/>
    <mergeCell ref="DC4:DI4"/>
    <mergeCell ref="DJ4:DP4"/>
    <mergeCell ref="DQ4:DW4"/>
    <mergeCell ref="DX4:ED4"/>
  </mergeCells>
  <conditionalFormatting sqref="I9:ER9">
    <cfRule type="expression" dxfId="16" priority="1">
      <formula>AND(I$5&gt;=$E9,I$5&lt;=$F9)</formula>
    </cfRule>
  </conditionalFormatting>
  <conditionalFormatting sqref="I10:ER10">
    <cfRule type="expression" dxfId="15" priority="2">
      <formula>AND(I$5&gt;=$E10,I$5&lt;=$F10)</formula>
    </cfRule>
  </conditionalFormatting>
  <conditionalFormatting sqref="I11:ER11">
    <cfRule type="expression" dxfId="14" priority="3">
      <formula>AND(I$5&gt;=$E11,I$5&lt;=$F11)</formula>
    </cfRule>
  </conditionalFormatting>
  <conditionalFormatting sqref="I12:ER12">
    <cfRule type="expression" dxfId="13" priority="4">
      <formula>AND(I$5&gt;=$E12,I$5&lt;=$F12)</formula>
    </cfRule>
  </conditionalFormatting>
  <conditionalFormatting sqref="I13:ER13">
    <cfRule type="expression" dxfId="12" priority="5">
      <formula>AND(I$5&gt;=$E13,I$5&lt;=$F13)</formula>
    </cfRule>
  </conditionalFormatting>
  <conditionalFormatting sqref="I15:ER15">
    <cfRule type="expression" dxfId="11" priority="6">
      <formula>AND(I$5&gt;=$E15,I$5&lt;=$F15)</formula>
    </cfRule>
  </conditionalFormatting>
  <conditionalFormatting sqref="I16:ER16">
    <cfRule type="expression" dxfId="10" priority="7">
      <formula>AND(I$5&gt;=$E16,I$5&lt;=$F16)</formula>
    </cfRule>
  </conditionalFormatting>
  <conditionalFormatting sqref="I17:ER17">
    <cfRule type="expression" dxfId="9" priority="8">
      <formula>AND(I$5&gt;=$E17,I$5&lt;=$F17)</formula>
    </cfRule>
  </conditionalFormatting>
  <conditionalFormatting sqref="I18:ER18">
    <cfRule type="expression" dxfId="8" priority="9">
      <formula>AND(I$5&gt;=$E18,I$5&lt;=$F18)</formula>
    </cfRule>
  </conditionalFormatting>
  <conditionalFormatting sqref="I19:ER19">
    <cfRule type="expression" dxfId="7" priority="10">
      <formula>AND(I$5&gt;=$E19,I$5&lt;=$F19)</formula>
    </cfRule>
  </conditionalFormatting>
  <conditionalFormatting sqref="I21:ER21">
    <cfRule type="expression" dxfId="6" priority="11">
      <formula>AND(I$5&gt;=$E21,I$5&lt;=$F21)</formula>
    </cfRule>
  </conditionalFormatting>
  <conditionalFormatting sqref="I22:ER23">
    <cfRule type="expression" dxfId="5" priority="12">
      <formula>AND(I$5&gt;=$E22,I$5&lt;=$F22)</formula>
    </cfRule>
  </conditionalFormatting>
  <conditionalFormatting sqref="I24:ER24">
    <cfRule type="expression" dxfId="4" priority="13">
      <formula>AND(I$5&gt;=$E24,I$5&lt;=$F24)</formula>
    </cfRule>
  </conditionalFormatting>
  <conditionalFormatting sqref="I26:ER26">
    <cfRule type="expression" dxfId="3" priority="14">
      <formula>AND(I$5&gt;=$E26,I$5&lt;=$F26)</formula>
    </cfRule>
  </conditionalFormatting>
  <conditionalFormatting sqref="I27:ER27">
    <cfRule type="expression" dxfId="2" priority="15">
      <formula>AND(I$5&gt;=$E27,I$5&lt;=$F27)</formula>
    </cfRule>
  </conditionalFormatting>
  <conditionalFormatting sqref="I28:ER28">
    <cfRule type="expression" dxfId="1" priority="16">
      <formula>AND(I$5&gt;=$E28,I$5&lt;=$F28)</formula>
    </cfRule>
  </conditionalFormatting>
  <conditionalFormatting sqref="I29:ER29">
    <cfRule type="expression" dxfId="0" priority="17">
      <formula>AND(I$5&gt;=$E29,I$5&lt;=$F29)</formula>
    </cfRule>
  </conditionalFormatting>
  <dataValidations count="12">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A10"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1:A13"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5" xr:uid="{DE54E5DE-526D-4D71-8D03-E99B4AB2FEE5}"/>
  </dataValidations>
  <printOptions horizontalCentered="1"/>
  <pageMargins left="0.35" right="0.35" top="0.35" bottom="0.5" header="0.3" footer="0.3"/>
  <pageSetup scale="25" fitToHeight="0" orientation="landscape" r:id="rId1"/>
  <headerFooter differentFirst="1" scaleWithDoc="0">
    <oddFoote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1" t="s">
        <v>2</v>
      </c>
      <c r="B2" s="7"/>
    </row>
    <row r="3" spans="1:2" s="10" customFormat="1" ht="27" customHeight="1" x14ac:dyDescent="0.15">
      <c r="A3" s="72"/>
      <c r="B3" s="11"/>
    </row>
    <row r="4" spans="1:2" s="9" customFormat="1" ht="31" x14ac:dyDescent="0.45">
      <c r="A4" s="73" t="s">
        <v>9</v>
      </c>
    </row>
    <row r="5" spans="1:2" ht="74.25" customHeight="1" x14ac:dyDescent="0.15">
      <c r="A5" s="74" t="s">
        <v>10</v>
      </c>
    </row>
    <row r="6" spans="1:2" ht="26.25" customHeight="1" x14ac:dyDescent="0.15">
      <c r="A6" s="73" t="s">
        <v>11</v>
      </c>
    </row>
    <row r="7" spans="1:2" s="6" customFormat="1" ht="205.25" customHeight="1" x14ac:dyDescent="0.15">
      <c r="A7" s="75" t="s">
        <v>12</v>
      </c>
    </row>
    <row r="8" spans="1:2" s="9" customFormat="1" ht="31" x14ac:dyDescent="0.45">
      <c r="A8" s="73" t="s">
        <v>13</v>
      </c>
    </row>
    <row r="9" spans="1:2" ht="60" x14ac:dyDescent="0.15">
      <c r="A9" s="74" t="s">
        <v>14</v>
      </c>
    </row>
    <row r="10" spans="1:2" s="6" customFormat="1" ht="28.25" customHeight="1" x14ac:dyDescent="0.15">
      <c r="A10" s="76" t="s">
        <v>15</v>
      </c>
    </row>
    <row r="11" spans="1:2" s="9" customFormat="1" ht="31" x14ac:dyDescent="0.45">
      <c r="A11" s="73" t="s">
        <v>16</v>
      </c>
    </row>
    <row r="12" spans="1:2" ht="30" x14ac:dyDescent="0.15">
      <c r="A12" s="74" t="s">
        <v>17</v>
      </c>
    </row>
    <row r="13" spans="1:2" s="6" customFormat="1" ht="28.25" customHeight="1" x14ac:dyDescent="0.15">
      <c r="A13" s="76" t="s">
        <v>18</v>
      </c>
    </row>
    <row r="14" spans="1:2" s="9" customFormat="1" ht="31" x14ac:dyDescent="0.45">
      <c r="A14" s="73" t="s">
        <v>19</v>
      </c>
    </row>
    <row r="15" spans="1:2" ht="75" customHeight="1" x14ac:dyDescent="0.15">
      <c r="A15" s="74" t="s">
        <v>20</v>
      </c>
    </row>
    <row r="16" spans="1:2" ht="75" x14ac:dyDescent="0.15">
      <c r="A16" s="74" t="s">
        <v>21</v>
      </c>
    </row>
    <row r="17" spans="1:1" x14ac:dyDescent="0.15">
      <c r="A17" s="77"/>
    </row>
    <row r="18" spans="1:1" x14ac:dyDescent="0.15">
      <c r="A18" s="77"/>
    </row>
    <row r="19" spans="1:1" x14ac:dyDescent="0.15">
      <c r="A19" s="77"/>
    </row>
    <row r="20" spans="1:1" x14ac:dyDescent="0.15">
      <c r="A20" s="77"/>
    </row>
    <row r="21" spans="1:1" x14ac:dyDescent="0.15">
      <c r="A21" s="77"/>
    </row>
    <row r="22" spans="1:1" x14ac:dyDescent="0.15">
      <c r="A22" s="77"/>
    </row>
    <row r="23" spans="1:1" x14ac:dyDescent="0.15">
      <c r="A23" s="77"/>
    </row>
    <row r="24" spans="1:1" x14ac:dyDescent="0.15">
      <c r="A24" s="77"/>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Regneark</vt:lpstr>
      </vt:variant>
      <vt:variant>
        <vt:i4>2</vt:i4>
      </vt:variant>
      <vt:variant>
        <vt:lpstr>Navngivne områder</vt:lpstr>
      </vt:variant>
      <vt:variant>
        <vt:i4>7</vt:i4>
      </vt:variant>
    </vt:vector>
  </HeadingPairs>
  <TitlesOfParts>
    <vt:vector size="9" baseType="lpstr">
      <vt:lpstr>Project schedule</vt:lpstr>
      <vt:lpstr>About</vt:lpstr>
      <vt:lpstr>Display_Week</vt:lpstr>
      <vt:lpstr>Project_Start</vt:lpstr>
      <vt:lpstr>'Project schedule'!task_end</vt:lpstr>
      <vt:lpstr>'Project schedule'!task_progress</vt:lpstr>
      <vt:lpstr>'Project schedule'!task_start</vt:lpstr>
      <vt:lpstr>'Project schedule'!Udskriftsområde</vt:lpstr>
      <vt:lpstr>'Project schedule'!Udskriftstitler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Oskar Karlsson</cp:lastModifiedBy>
  <cp:revision/>
  <cp:lastPrinted>2026-03-04T15:12:07Z</cp:lastPrinted>
  <dcterms:created xsi:type="dcterms:W3CDTF">2022-03-11T22:41:12Z</dcterms:created>
  <dcterms:modified xsi:type="dcterms:W3CDTF">2026-03-04T15:32:32Z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